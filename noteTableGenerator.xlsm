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projects\SoundPlayer_dsPIC33CK_LVMC\"/>
    </mc:Choice>
  </mc:AlternateContent>
  <xr:revisionPtr revIDLastSave="0" documentId="8_{B2CC5DC0-657A-4204-B31A-0885F17FD4BA}" xr6:coauthVersionLast="47" xr6:coauthVersionMax="47" xr10:uidLastSave="{00000000-0000-0000-0000-000000000000}"/>
  <bookViews>
    <workbookView xWindow="-120" yWindow="-120" windowWidth="29040" windowHeight="15840" xr2:uid="{75175048-923D-4132-AB4C-50CA67AF2A0C}"/>
  </bookViews>
  <sheets>
    <sheet name="Music" sheetId="1" r:id="rId1"/>
    <sheet name="CCode" sheetId="3" r:id="rId2"/>
    <sheet name="LUAcode" sheetId="4" r:id="rId3"/>
    <sheet name="PythonCode" sheetId="5" r:id="rId4"/>
    <sheet name="Notes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3" i="1" l="1"/>
  <c r="B53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A48" i="1"/>
  <c r="B48" i="1"/>
  <c r="A49" i="1"/>
  <c r="B49" i="1"/>
  <c r="A50" i="1"/>
  <c r="B50" i="1"/>
  <c r="A51" i="1"/>
  <c r="B51" i="1"/>
  <c r="A52" i="1"/>
  <c r="B52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B15" i="1"/>
  <c r="B14" i="1"/>
  <c r="B13" i="1"/>
  <c r="B12" i="1"/>
  <c r="B11" i="1"/>
  <c r="B10" i="1"/>
  <c r="B9" i="1"/>
  <c r="B8" i="1"/>
  <c r="B6" i="1"/>
  <c r="B7" i="1"/>
  <c r="B16" i="1"/>
  <c r="B17" i="1"/>
  <c r="B18" i="1"/>
  <c r="B19" i="1"/>
  <c r="B20" i="1"/>
  <c r="B21" i="1"/>
  <c r="B22" i="1"/>
  <c r="B23" i="1"/>
  <c r="B24" i="1"/>
  <c r="B3" i="1"/>
  <c r="B4" i="1"/>
  <c r="B5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A439" i="3" s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A471" i="3" s="1"/>
  <c r="B472" i="1"/>
  <c r="B473" i="1"/>
  <c r="B474" i="1"/>
  <c r="B475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3" i="3" s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5" i="3" s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1" i="3" s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7" i="3" s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299" i="3" s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5" i="3" s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1" i="3" s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3" i="3" s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79" i="3" s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5" i="3" s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5" i="3" s="1"/>
  <c r="B2" i="1"/>
  <c r="C27" i="2"/>
  <c r="C28" i="2"/>
  <c r="C29" i="2"/>
  <c r="C30" i="2"/>
  <c r="C31" i="2"/>
  <c r="C32" i="2"/>
  <c r="C33" i="2"/>
  <c r="C34" i="2"/>
  <c r="C35" i="2"/>
  <c r="C36" i="2"/>
  <c r="C37" i="2"/>
  <c r="C26" i="2"/>
  <c r="C25" i="2"/>
  <c r="C3" i="2"/>
  <c r="C4" i="2"/>
  <c r="C5" i="2"/>
  <c r="C6" i="2"/>
  <c r="C7" i="2"/>
  <c r="C8" i="2"/>
  <c r="C9" i="2"/>
  <c r="C10" i="2"/>
  <c r="C11" i="2"/>
  <c r="C12" i="2"/>
  <c r="C13" i="2"/>
  <c r="C2" i="2"/>
  <c r="C14" i="2"/>
  <c r="C15" i="2"/>
  <c r="C16" i="2"/>
  <c r="C17" i="2"/>
  <c r="C18" i="2"/>
  <c r="C19" i="2"/>
  <c r="C20" i="2"/>
  <c r="C21" i="2"/>
  <c r="C22" i="2"/>
  <c r="C23" i="2"/>
  <c r="C24" i="2"/>
  <c r="A207" i="3"/>
  <c r="A219" i="3"/>
  <c r="A223" i="3"/>
  <c r="A239" i="3"/>
  <c r="A255" i="3"/>
  <c r="A271" i="3"/>
  <c r="A283" i="3"/>
  <c r="A287" i="3"/>
  <c r="A303" i="3"/>
  <c r="A319" i="3"/>
  <c r="A335" i="3"/>
  <c r="A347" i="3"/>
  <c r="A351" i="3"/>
  <c r="A367" i="3"/>
  <c r="A383" i="3"/>
  <c r="A399" i="3"/>
  <c r="A411" i="3"/>
  <c r="A415" i="3"/>
  <c r="A431" i="3"/>
  <c r="A447" i="3"/>
  <c r="A463" i="3"/>
  <c r="B97" i="2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A459" i="3" l="1"/>
  <c r="A443" i="3"/>
  <c r="A427" i="3"/>
  <c r="B24" i="2"/>
  <c r="A57" i="5"/>
  <c r="A57" i="4"/>
  <c r="A57" i="3"/>
  <c r="A45" i="5"/>
  <c r="A45" i="4"/>
  <c r="A45" i="3"/>
  <c r="A33" i="5"/>
  <c r="A33" i="4"/>
  <c r="A33" i="3"/>
  <c r="A29" i="5"/>
  <c r="A29" i="4"/>
  <c r="A29" i="3"/>
  <c r="A472" i="5"/>
  <c r="A472" i="3"/>
  <c r="A472" i="4"/>
  <c r="A468" i="5"/>
  <c r="A468" i="3"/>
  <c r="A468" i="4"/>
  <c r="A464" i="5"/>
  <c r="A464" i="3"/>
  <c r="A464" i="4"/>
  <c r="A460" i="5"/>
  <c r="A460" i="3"/>
  <c r="A460" i="4"/>
  <c r="A456" i="5"/>
  <c r="A456" i="3"/>
  <c r="A456" i="4"/>
  <c r="A452" i="5"/>
  <c r="A452" i="4"/>
  <c r="A452" i="3"/>
  <c r="A448" i="5"/>
  <c r="A448" i="4"/>
  <c r="A448" i="3"/>
  <c r="A444" i="5"/>
  <c r="A444" i="4"/>
  <c r="A444" i="3"/>
  <c r="A440" i="5"/>
  <c r="A440" i="4"/>
  <c r="A440" i="3"/>
  <c r="A436" i="5"/>
  <c r="A436" i="4"/>
  <c r="A436" i="3"/>
  <c r="A432" i="5"/>
  <c r="A432" i="4"/>
  <c r="A432" i="3"/>
  <c r="A428" i="5"/>
  <c r="A428" i="4"/>
  <c r="A428" i="3"/>
  <c r="A424" i="5"/>
  <c r="A424" i="4"/>
  <c r="A424" i="3"/>
  <c r="A420" i="5"/>
  <c r="A420" i="4"/>
  <c r="A420" i="3"/>
  <c r="A416" i="5"/>
  <c r="A416" i="4"/>
  <c r="A416" i="3"/>
  <c r="A412" i="5"/>
  <c r="A412" i="4"/>
  <c r="A412" i="3"/>
  <c r="A408" i="5"/>
  <c r="A408" i="4"/>
  <c r="A408" i="3"/>
  <c r="A404" i="5"/>
  <c r="A404" i="4"/>
  <c r="A404" i="3"/>
  <c r="A400" i="5"/>
  <c r="A400" i="4"/>
  <c r="A400" i="3"/>
  <c r="A396" i="5"/>
  <c r="A396" i="4"/>
  <c r="A396" i="3"/>
  <c r="A392" i="5"/>
  <c r="A392" i="4"/>
  <c r="A392" i="3"/>
  <c r="A388" i="5"/>
  <c r="A388" i="4"/>
  <c r="A388" i="3"/>
  <c r="A384" i="5"/>
  <c r="A384" i="4"/>
  <c r="A384" i="3"/>
  <c r="A380" i="5"/>
  <c r="A380" i="4"/>
  <c r="A380" i="3"/>
  <c r="A376" i="5"/>
  <c r="A376" i="4"/>
  <c r="A376" i="3"/>
  <c r="A372" i="5"/>
  <c r="A372" i="4"/>
  <c r="A372" i="3"/>
  <c r="A368" i="5"/>
  <c r="A368" i="4"/>
  <c r="A368" i="3"/>
  <c r="A364" i="5"/>
  <c r="A364" i="4"/>
  <c r="A364" i="3"/>
  <c r="A360" i="5"/>
  <c r="A360" i="4"/>
  <c r="A360" i="3"/>
  <c r="A356" i="5"/>
  <c r="A356" i="4"/>
  <c r="A356" i="3"/>
  <c r="A352" i="5"/>
  <c r="A352" i="4"/>
  <c r="A352" i="3"/>
  <c r="A348" i="5"/>
  <c r="A348" i="4"/>
  <c r="A348" i="3"/>
  <c r="A344" i="5"/>
  <c r="A344" i="4"/>
  <c r="A344" i="3"/>
  <c r="A340" i="5"/>
  <c r="A340" i="4"/>
  <c r="A340" i="3"/>
  <c r="A336" i="5"/>
  <c r="A336" i="4"/>
  <c r="A336" i="3"/>
  <c r="A332" i="5"/>
  <c r="A332" i="4"/>
  <c r="A332" i="3"/>
  <c r="A328" i="5"/>
  <c r="A328" i="4"/>
  <c r="A328" i="3"/>
  <c r="A324" i="5"/>
  <c r="A324" i="4"/>
  <c r="A324" i="3"/>
  <c r="A320" i="5"/>
  <c r="A320" i="4"/>
  <c r="A320" i="3"/>
  <c r="A316" i="5"/>
  <c r="A316" i="4"/>
  <c r="A316" i="3"/>
  <c r="A312" i="5"/>
  <c r="A312" i="4"/>
  <c r="A312" i="3"/>
  <c r="A308" i="5"/>
  <c r="A308" i="4"/>
  <c r="A308" i="3"/>
  <c r="A304" i="5"/>
  <c r="A304" i="4"/>
  <c r="A304" i="3"/>
  <c r="A300" i="5"/>
  <c r="A300" i="4"/>
  <c r="A300" i="3"/>
  <c r="A296" i="5"/>
  <c r="A296" i="4"/>
  <c r="A296" i="3"/>
  <c r="A292" i="5"/>
  <c r="A292" i="4"/>
  <c r="A292" i="3"/>
  <c r="A288" i="5"/>
  <c r="A288" i="4"/>
  <c r="A288" i="3"/>
  <c r="A284" i="5"/>
  <c r="A284" i="4"/>
  <c r="A284" i="3"/>
  <c r="A280" i="5"/>
  <c r="A280" i="4"/>
  <c r="A280" i="3"/>
  <c r="A276" i="5"/>
  <c r="A276" i="4"/>
  <c r="A276" i="3"/>
  <c r="A272" i="5"/>
  <c r="A272" i="4"/>
  <c r="A272" i="3"/>
  <c r="A268" i="5"/>
  <c r="A268" i="4"/>
  <c r="A268" i="3"/>
  <c r="A264" i="5"/>
  <c r="A264" i="4"/>
  <c r="A264" i="3"/>
  <c r="A260" i="5"/>
  <c r="A260" i="4"/>
  <c r="A260" i="3"/>
  <c r="A256" i="5"/>
  <c r="A256" i="4"/>
  <c r="A256" i="3"/>
  <c r="A252" i="5"/>
  <c r="A252" i="4"/>
  <c r="A252" i="3"/>
  <c r="A248" i="5"/>
  <c r="A248" i="4"/>
  <c r="A248" i="3"/>
  <c r="A244" i="5"/>
  <c r="A244" i="4"/>
  <c r="A244" i="3"/>
  <c r="A240" i="5"/>
  <c r="A240" i="4"/>
  <c r="A240" i="3"/>
  <c r="A236" i="5"/>
  <c r="A236" i="4"/>
  <c r="A236" i="3"/>
  <c r="A232" i="5"/>
  <c r="A232" i="4"/>
  <c r="A232" i="3"/>
  <c r="A228" i="5"/>
  <c r="A228" i="4"/>
  <c r="A228" i="3"/>
  <c r="A224" i="5"/>
  <c r="A224" i="4"/>
  <c r="A224" i="3"/>
  <c r="A220" i="5"/>
  <c r="A220" i="4"/>
  <c r="A220" i="3"/>
  <c r="A216" i="5"/>
  <c r="A216" i="4"/>
  <c r="A216" i="3"/>
  <c r="A212" i="5"/>
  <c r="A212" i="4"/>
  <c r="A212" i="3"/>
  <c r="A208" i="5"/>
  <c r="A208" i="4"/>
  <c r="A208" i="3"/>
  <c r="A204" i="5"/>
  <c r="A204" i="4"/>
  <c r="A204" i="3"/>
  <c r="A200" i="5"/>
  <c r="A200" i="4"/>
  <c r="A200" i="3"/>
  <c r="A196" i="5"/>
  <c r="A196" i="4"/>
  <c r="A196" i="3"/>
  <c r="A192" i="5"/>
  <c r="A192" i="4"/>
  <c r="A192" i="3"/>
  <c r="A188" i="5"/>
  <c r="A188" i="4"/>
  <c r="A188" i="3"/>
  <c r="A184" i="5"/>
  <c r="A184" i="4"/>
  <c r="A184" i="3"/>
  <c r="A180" i="5"/>
  <c r="A180" i="4"/>
  <c r="A180" i="3"/>
  <c r="A176" i="5"/>
  <c r="A176" i="4"/>
  <c r="A176" i="3"/>
  <c r="A172" i="5"/>
  <c r="A172" i="4"/>
  <c r="A172" i="3"/>
  <c r="A168" i="5"/>
  <c r="A168" i="4"/>
  <c r="A168" i="3"/>
  <c r="A164" i="5"/>
  <c r="A164" i="4"/>
  <c r="A164" i="3"/>
  <c r="A160" i="5"/>
  <c r="A160" i="4"/>
  <c r="A160" i="3"/>
  <c r="A156" i="5"/>
  <c r="A156" i="4"/>
  <c r="A156" i="3"/>
  <c r="A152" i="5"/>
  <c r="A152" i="4"/>
  <c r="A152" i="3"/>
  <c r="A148" i="5"/>
  <c r="A148" i="4"/>
  <c r="A148" i="3"/>
  <c r="A144" i="5"/>
  <c r="A144" i="4"/>
  <c r="A144" i="3"/>
  <c r="A140" i="5"/>
  <c r="A140" i="4"/>
  <c r="A140" i="3"/>
  <c r="A136" i="5"/>
  <c r="A136" i="4"/>
  <c r="A136" i="3"/>
  <c r="A132" i="5"/>
  <c r="A132" i="4"/>
  <c r="A132" i="3"/>
  <c r="A128" i="5"/>
  <c r="A128" i="4"/>
  <c r="A128" i="3"/>
  <c r="A124" i="5"/>
  <c r="A124" i="4"/>
  <c r="A124" i="3"/>
  <c r="A120" i="5"/>
  <c r="A120" i="4"/>
  <c r="A120" i="3"/>
  <c r="A116" i="5"/>
  <c r="A116" i="4"/>
  <c r="A116" i="3"/>
  <c r="A112" i="5"/>
  <c r="A112" i="4"/>
  <c r="A112" i="3"/>
  <c r="A108" i="5"/>
  <c r="A108" i="4"/>
  <c r="A108" i="3"/>
  <c r="A104" i="5"/>
  <c r="A104" i="4"/>
  <c r="A104" i="3"/>
  <c r="A100" i="5"/>
  <c r="A100" i="4"/>
  <c r="A100" i="3"/>
  <c r="A96" i="5"/>
  <c r="A96" i="4"/>
  <c r="A96" i="3"/>
  <c r="A92" i="5"/>
  <c r="A92" i="4"/>
  <c r="A92" i="3"/>
  <c r="A88" i="5"/>
  <c r="A88" i="4"/>
  <c r="A88" i="3"/>
  <c r="A84" i="5"/>
  <c r="A84" i="4"/>
  <c r="A84" i="3"/>
  <c r="A80" i="5"/>
  <c r="A80" i="4"/>
  <c r="A80" i="3"/>
  <c r="A76" i="5"/>
  <c r="A76" i="4"/>
  <c r="A76" i="3"/>
  <c r="A72" i="5"/>
  <c r="A72" i="4"/>
  <c r="A72" i="3"/>
  <c r="A68" i="5"/>
  <c r="A68" i="4"/>
  <c r="A68" i="3"/>
  <c r="A64" i="5"/>
  <c r="A64" i="4"/>
  <c r="A64" i="3"/>
  <c r="A60" i="5"/>
  <c r="A60" i="4"/>
  <c r="A60" i="3"/>
  <c r="A56" i="5"/>
  <c r="A56" i="4"/>
  <c r="A56" i="3"/>
  <c r="A52" i="5"/>
  <c r="A52" i="4"/>
  <c r="A52" i="3"/>
  <c r="A48" i="5"/>
  <c r="A48" i="4"/>
  <c r="A48" i="3"/>
  <c r="A44" i="5"/>
  <c r="A44" i="4"/>
  <c r="A44" i="3"/>
  <c r="A40" i="5"/>
  <c r="A40" i="4"/>
  <c r="A40" i="3"/>
  <c r="A36" i="5"/>
  <c r="A36" i="4"/>
  <c r="A36" i="3"/>
  <c r="A32" i="5"/>
  <c r="A32" i="4"/>
  <c r="A32" i="3"/>
  <c r="A28" i="5"/>
  <c r="A28" i="4"/>
  <c r="A28" i="3"/>
  <c r="A469" i="5"/>
  <c r="A469" i="3"/>
  <c r="A469" i="4"/>
  <c r="A461" i="5"/>
  <c r="A461" i="3"/>
  <c r="A461" i="4"/>
  <c r="A453" i="5"/>
  <c r="A453" i="3"/>
  <c r="A453" i="4"/>
  <c r="A445" i="5"/>
  <c r="A445" i="4"/>
  <c r="A445" i="3"/>
  <c r="A437" i="5"/>
  <c r="A437" i="4"/>
  <c r="A437" i="3"/>
  <c r="A429" i="5"/>
  <c r="A429" i="4"/>
  <c r="A429" i="3"/>
  <c r="A421" i="5"/>
  <c r="A421" i="4"/>
  <c r="A421" i="3"/>
  <c r="A413" i="5"/>
  <c r="A413" i="4"/>
  <c r="A413" i="3"/>
  <c r="A405" i="5"/>
  <c r="A405" i="4"/>
  <c r="A405" i="3"/>
  <c r="A397" i="5"/>
  <c r="A397" i="4"/>
  <c r="A397" i="3"/>
  <c r="A389" i="5"/>
  <c r="A389" i="4"/>
  <c r="A389" i="3"/>
  <c r="A381" i="5"/>
  <c r="A381" i="4"/>
  <c r="A381" i="3"/>
  <c r="A373" i="5"/>
  <c r="A373" i="4"/>
  <c r="A373" i="3"/>
  <c r="A365" i="5"/>
  <c r="A365" i="4"/>
  <c r="A365" i="3"/>
  <c r="A357" i="5"/>
  <c r="A357" i="4"/>
  <c r="A357" i="3"/>
  <c r="A349" i="5"/>
  <c r="A349" i="4"/>
  <c r="A349" i="3"/>
  <c r="A341" i="5"/>
  <c r="A341" i="4"/>
  <c r="A341" i="3"/>
  <c r="A337" i="5"/>
  <c r="A337" i="4"/>
  <c r="A337" i="3"/>
  <c r="A329" i="5"/>
  <c r="A329" i="4"/>
  <c r="A329" i="3"/>
  <c r="A321" i="5"/>
  <c r="A321" i="4"/>
  <c r="A321" i="3"/>
  <c r="A313" i="5"/>
  <c r="A313" i="4"/>
  <c r="A313" i="3"/>
  <c r="A305" i="5"/>
  <c r="A305" i="4"/>
  <c r="A305" i="3"/>
  <c r="A297" i="5"/>
  <c r="A297" i="4"/>
  <c r="A297" i="3"/>
  <c r="A289" i="5"/>
  <c r="A289" i="4"/>
  <c r="A289" i="3"/>
  <c r="A281" i="5"/>
  <c r="A281" i="4"/>
  <c r="A281" i="3"/>
  <c r="A273" i="5"/>
  <c r="A273" i="4"/>
  <c r="A273" i="3"/>
  <c r="A265" i="5"/>
  <c r="A265" i="4"/>
  <c r="A265" i="3"/>
  <c r="A257" i="4"/>
  <c r="A257" i="5"/>
  <c r="A257" i="3"/>
  <c r="A249" i="5"/>
  <c r="A249" i="4"/>
  <c r="A249" i="3"/>
  <c r="A241" i="5"/>
  <c r="A241" i="4"/>
  <c r="A241" i="3"/>
  <c r="A233" i="5"/>
  <c r="A233" i="4"/>
  <c r="A233" i="3"/>
  <c r="A225" i="5"/>
  <c r="A225" i="4"/>
  <c r="A225" i="3"/>
  <c r="A217" i="5"/>
  <c r="A217" i="4"/>
  <c r="A217" i="3"/>
  <c r="A209" i="5"/>
  <c r="A209" i="4"/>
  <c r="A209" i="3"/>
  <c r="A201" i="5"/>
  <c r="A201" i="4"/>
  <c r="A201" i="3"/>
  <c r="A193" i="5"/>
  <c r="A193" i="4"/>
  <c r="A193" i="3"/>
  <c r="A185" i="5"/>
  <c r="A185" i="4"/>
  <c r="A185" i="3"/>
  <c r="A177" i="5"/>
  <c r="A177" i="4"/>
  <c r="A177" i="3"/>
  <c r="A169" i="5"/>
  <c r="A169" i="4"/>
  <c r="A169" i="3"/>
  <c r="A161" i="5"/>
  <c r="A161" i="4"/>
  <c r="A161" i="3"/>
  <c r="A153" i="5"/>
  <c r="A153" i="4"/>
  <c r="A153" i="3"/>
  <c r="A145" i="5"/>
  <c r="A145" i="4"/>
  <c r="A145" i="3"/>
  <c r="A137" i="5"/>
  <c r="A137" i="4"/>
  <c r="A137" i="3"/>
  <c r="A129" i="5"/>
  <c r="A129" i="4"/>
  <c r="A129" i="3"/>
  <c r="A121" i="5"/>
  <c r="A121" i="4"/>
  <c r="A121" i="3"/>
  <c r="A113" i="5"/>
  <c r="A113" i="4"/>
  <c r="A113" i="3"/>
  <c r="A105" i="5"/>
  <c r="A105" i="4"/>
  <c r="A105" i="3"/>
  <c r="A97" i="5"/>
  <c r="A97" i="4"/>
  <c r="A97" i="3"/>
  <c r="A89" i="5"/>
  <c r="A89" i="4"/>
  <c r="A89" i="3"/>
  <c r="A81" i="5"/>
  <c r="A81" i="4"/>
  <c r="A81" i="3"/>
  <c r="A73" i="5"/>
  <c r="A73" i="4"/>
  <c r="A73" i="3"/>
  <c r="A65" i="5"/>
  <c r="A65" i="4"/>
  <c r="A65" i="3"/>
  <c r="A53" i="5"/>
  <c r="A53" i="4"/>
  <c r="A53" i="3"/>
  <c r="A41" i="5"/>
  <c r="A41" i="4"/>
  <c r="A41" i="3"/>
  <c r="A475" i="5"/>
  <c r="A475" i="4"/>
  <c r="A463" i="5"/>
  <c r="A463" i="4"/>
  <c r="A455" i="5"/>
  <c r="A455" i="4"/>
  <c r="A447" i="5"/>
  <c r="A447" i="4"/>
  <c r="A443" i="5"/>
  <c r="A443" i="4"/>
  <c r="A435" i="5"/>
  <c r="A435" i="4"/>
  <c r="A431" i="5"/>
  <c r="A431" i="4"/>
  <c r="A427" i="5"/>
  <c r="A427" i="4"/>
  <c r="A423" i="5"/>
  <c r="A423" i="4"/>
  <c r="A419" i="5"/>
  <c r="A419" i="4"/>
  <c r="A415" i="5"/>
  <c r="A415" i="4"/>
  <c r="A411" i="5"/>
  <c r="A411" i="4"/>
  <c r="A407" i="5"/>
  <c r="A407" i="4"/>
  <c r="A403" i="5"/>
  <c r="A403" i="4"/>
  <c r="A399" i="5"/>
  <c r="A399" i="4"/>
  <c r="A395" i="5"/>
  <c r="A395" i="4"/>
  <c r="A391" i="5"/>
  <c r="A391" i="4"/>
  <c r="A387" i="5"/>
  <c r="A387" i="4"/>
  <c r="A383" i="5"/>
  <c r="A383" i="4"/>
  <c r="A379" i="5"/>
  <c r="A379" i="4"/>
  <c r="A375" i="5"/>
  <c r="A375" i="4"/>
  <c r="A371" i="5"/>
  <c r="A371" i="4"/>
  <c r="A367" i="5"/>
  <c r="A367" i="4"/>
  <c r="A363" i="5"/>
  <c r="A363" i="4"/>
  <c r="A359" i="5"/>
  <c r="A359" i="4"/>
  <c r="A355" i="5"/>
  <c r="A355" i="4"/>
  <c r="A351" i="5"/>
  <c r="A351" i="4"/>
  <c r="A347" i="5"/>
  <c r="A347" i="4"/>
  <c r="A343" i="5"/>
  <c r="A343" i="4"/>
  <c r="A339" i="5"/>
  <c r="A339" i="4"/>
  <c r="A335" i="4"/>
  <c r="A335" i="5"/>
  <c r="A331" i="5"/>
  <c r="A331" i="4"/>
  <c r="A327" i="5"/>
  <c r="A327" i="4"/>
  <c r="A323" i="5"/>
  <c r="A323" i="4"/>
  <c r="A319" i="4"/>
  <c r="A319" i="5"/>
  <c r="A315" i="5"/>
  <c r="A315" i="4"/>
  <c r="A311" i="5"/>
  <c r="A311" i="4"/>
  <c r="A307" i="5"/>
  <c r="A307" i="4"/>
  <c r="A303" i="4"/>
  <c r="A303" i="5"/>
  <c r="A299" i="5"/>
  <c r="A299" i="4"/>
  <c r="A295" i="5"/>
  <c r="A295" i="4"/>
  <c r="A291" i="5"/>
  <c r="A291" i="4"/>
  <c r="A287" i="5"/>
  <c r="A287" i="4"/>
  <c r="A283" i="5"/>
  <c r="A283" i="4"/>
  <c r="A279" i="5"/>
  <c r="A279" i="4"/>
  <c r="A275" i="5"/>
  <c r="A275" i="4"/>
  <c r="A271" i="4"/>
  <c r="A271" i="5"/>
  <c r="A267" i="5"/>
  <c r="A267" i="4"/>
  <c r="A263" i="5"/>
  <c r="A263" i="4"/>
  <c r="A259" i="5"/>
  <c r="A259" i="4"/>
  <c r="A255" i="5"/>
  <c r="A255" i="4"/>
  <c r="A251" i="5"/>
  <c r="A251" i="4"/>
  <c r="A247" i="5"/>
  <c r="A247" i="4"/>
  <c r="A243" i="5"/>
  <c r="A243" i="4"/>
  <c r="A239" i="5"/>
  <c r="A239" i="4"/>
  <c r="A235" i="5"/>
  <c r="A235" i="4"/>
  <c r="A231" i="5"/>
  <c r="A231" i="4"/>
  <c r="A227" i="5"/>
  <c r="A227" i="4"/>
  <c r="A223" i="5"/>
  <c r="A223" i="4"/>
  <c r="A219" i="5"/>
  <c r="A219" i="4"/>
  <c r="A215" i="5"/>
  <c r="A215" i="4"/>
  <c r="A211" i="5"/>
  <c r="A211" i="4"/>
  <c r="A207" i="5"/>
  <c r="A207" i="4"/>
  <c r="A203" i="5"/>
  <c r="A203" i="4"/>
  <c r="A199" i="5"/>
  <c r="A199" i="4"/>
  <c r="A195" i="5"/>
  <c r="A195" i="4"/>
  <c r="A191" i="5"/>
  <c r="A191" i="4"/>
  <c r="A191" i="3"/>
  <c r="A187" i="5"/>
  <c r="A187" i="4"/>
  <c r="A187" i="3"/>
  <c r="A183" i="5"/>
  <c r="A183" i="4"/>
  <c r="A183" i="3"/>
  <c r="A179" i="5"/>
  <c r="A179" i="4"/>
  <c r="A179" i="3"/>
  <c r="A175" i="5"/>
  <c r="A175" i="4"/>
  <c r="A175" i="3"/>
  <c r="A171" i="5"/>
  <c r="A171" i="4"/>
  <c r="A171" i="3"/>
  <c r="A167" i="5"/>
  <c r="A167" i="4"/>
  <c r="A167" i="3"/>
  <c r="A163" i="5"/>
  <c r="A163" i="4"/>
  <c r="A163" i="3"/>
  <c r="A159" i="5"/>
  <c r="A159" i="4"/>
  <c r="A159" i="3"/>
  <c r="A155" i="5"/>
  <c r="A155" i="4"/>
  <c r="A155" i="3"/>
  <c r="A151" i="5"/>
  <c r="A151" i="4"/>
  <c r="A151" i="3"/>
  <c r="A147" i="5"/>
  <c r="A147" i="4"/>
  <c r="A147" i="3"/>
  <c r="A143" i="5"/>
  <c r="A143" i="4"/>
  <c r="A143" i="3"/>
  <c r="A139" i="5"/>
  <c r="A139" i="4"/>
  <c r="A139" i="3"/>
  <c r="A135" i="5"/>
  <c r="A135" i="4"/>
  <c r="A135" i="3"/>
  <c r="A131" i="5"/>
  <c r="A131" i="4"/>
  <c r="A131" i="3"/>
  <c r="A127" i="5"/>
  <c r="A127" i="4"/>
  <c r="A127" i="3"/>
  <c r="A123" i="5"/>
  <c r="A123" i="4"/>
  <c r="A123" i="3"/>
  <c r="A119" i="5"/>
  <c r="A119" i="4"/>
  <c r="A119" i="3"/>
  <c r="A115" i="5"/>
  <c r="A115" i="4"/>
  <c r="A115" i="3"/>
  <c r="A111" i="5"/>
  <c r="A111" i="4"/>
  <c r="A111" i="3"/>
  <c r="A107" i="5"/>
  <c r="A107" i="4"/>
  <c r="A107" i="3"/>
  <c r="A103" i="5"/>
  <c r="A103" i="4"/>
  <c r="A103" i="3"/>
  <c r="A99" i="5"/>
  <c r="A99" i="4"/>
  <c r="A99" i="3"/>
  <c r="A95" i="5"/>
  <c r="A95" i="4"/>
  <c r="A95" i="3"/>
  <c r="A91" i="5"/>
  <c r="A91" i="4"/>
  <c r="A91" i="3"/>
  <c r="A87" i="5"/>
  <c r="A87" i="4"/>
  <c r="A87" i="3"/>
  <c r="A83" i="5"/>
  <c r="A83" i="4"/>
  <c r="A83" i="3"/>
  <c r="A79" i="5"/>
  <c r="A79" i="4"/>
  <c r="A79" i="3"/>
  <c r="A75" i="5"/>
  <c r="A75" i="4"/>
  <c r="A75" i="3"/>
  <c r="A71" i="5"/>
  <c r="A71" i="4"/>
  <c r="A71" i="3"/>
  <c r="A67" i="5"/>
  <c r="A67" i="4"/>
  <c r="A67" i="3"/>
  <c r="A63" i="5"/>
  <c r="A63" i="4"/>
  <c r="A63" i="3"/>
  <c r="A59" i="5"/>
  <c r="A59" i="4"/>
  <c r="A59" i="3"/>
  <c r="A55" i="5"/>
  <c r="A55" i="4"/>
  <c r="A55" i="3"/>
  <c r="A51" i="5"/>
  <c r="A51" i="4"/>
  <c r="A51" i="3"/>
  <c r="A47" i="5"/>
  <c r="A47" i="4"/>
  <c r="A47" i="3"/>
  <c r="A43" i="5"/>
  <c r="A43" i="4"/>
  <c r="A43" i="3"/>
  <c r="A39" i="5"/>
  <c r="A39" i="4"/>
  <c r="A39" i="3"/>
  <c r="A35" i="5"/>
  <c r="A35" i="4"/>
  <c r="A35" i="3"/>
  <c r="A31" i="5"/>
  <c r="A31" i="4"/>
  <c r="A31" i="3"/>
  <c r="A27" i="5"/>
  <c r="A27" i="4"/>
  <c r="A27" i="3"/>
  <c r="A455" i="3"/>
  <c r="A423" i="3"/>
  <c r="A407" i="3"/>
  <c r="A391" i="3"/>
  <c r="A375" i="3"/>
  <c r="A359" i="3"/>
  <c r="A343" i="3"/>
  <c r="A327" i="3"/>
  <c r="A311" i="3"/>
  <c r="A295" i="3"/>
  <c r="A279" i="3"/>
  <c r="A263" i="3"/>
  <c r="A247" i="3"/>
  <c r="A231" i="3"/>
  <c r="A215" i="3"/>
  <c r="A199" i="3"/>
  <c r="A473" i="5"/>
  <c r="A473" i="3"/>
  <c r="A473" i="4"/>
  <c r="A465" i="5"/>
  <c r="A465" i="3"/>
  <c r="A465" i="4"/>
  <c r="A457" i="5"/>
  <c r="A457" i="3"/>
  <c r="A457" i="4"/>
  <c r="A449" i="5"/>
  <c r="A449" i="4"/>
  <c r="A449" i="3"/>
  <c r="A441" i="4"/>
  <c r="A441" i="3"/>
  <c r="A441" i="5"/>
  <c r="A433" i="5"/>
  <c r="A433" i="4"/>
  <c r="A433" i="3"/>
  <c r="A425" i="4"/>
  <c r="A425" i="3"/>
  <c r="A425" i="5"/>
  <c r="A417" i="5"/>
  <c r="A417" i="4"/>
  <c r="A417" i="3"/>
  <c r="A409" i="4"/>
  <c r="A409" i="5"/>
  <c r="A409" i="3"/>
  <c r="A401" i="5"/>
  <c r="A401" i="4"/>
  <c r="A401" i="3"/>
  <c r="A393" i="4"/>
  <c r="A393" i="5"/>
  <c r="A393" i="3"/>
  <c r="A385" i="5"/>
  <c r="A385" i="4"/>
  <c r="A385" i="3"/>
  <c r="A377" i="4"/>
  <c r="A377" i="3"/>
  <c r="A377" i="5"/>
  <c r="A369" i="5"/>
  <c r="A369" i="4"/>
  <c r="A369" i="3"/>
  <c r="A361" i="4"/>
  <c r="A361" i="3"/>
  <c r="A361" i="5"/>
  <c r="A353" i="5"/>
  <c r="A353" i="4"/>
  <c r="A353" i="3"/>
  <c r="A345" i="4"/>
  <c r="A345" i="5"/>
  <c r="A345" i="3"/>
  <c r="A333" i="5"/>
  <c r="A333" i="4"/>
  <c r="A333" i="3"/>
  <c r="A325" i="4"/>
  <c r="A325" i="5"/>
  <c r="A325" i="3"/>
  <c r="A317" i="5"/>
  <c r="A317" i="4"/>
  <c r="A317" i="3"/>
  <c r="A309" i="5"/>
  <c r="A309" i="4"/>
  <c r="A309" i="3"/>
  <c r="A301" i="5"/>
  <c r="A301" i="4"/>
  <c r="A301" i="3"/>
  <c r="A293" i="5"/>
  <c r="A293" i="4"/>
  <c r="A293" i="3"/>
  <c r="A285" i="5"/>
  <c r="A285" i="4"/>
  <c r="A285" i="3"/>
  <c r="A277" i="5"/>
  <c r="A277" i="4"/>
  <c r="A277" i="3"/>
  <c r="A269" i="5"/>
  <c r="A269" i="4"/>
  <c r="A269" i="3"/>
  <c r="A261" i="5"/>
  <c r="A261" i="4"/>
  <c r="A261" i="3"/>
  <c r="A253" i="5"/>
  <c r="A253" i="4"/>
  <c r="A253" i="3"/>
  <c r="A245" i="5"/>
  <c r="A245" i="4"/>
  <c r="A245" i="3"/>
  <c r="A237" i="5"/>
  <c r="A237" i="4"/>
  <c r="A237" i="3"/>
  <c r="A229" i="5"/>
  <c r="A229" i="4"/>
  <c r="A229" i="3"/>
  <c r="A221" i="5"/>
  <c r="A221" i="4"/>
  <c r="A221" i="3"/>
  <c r="A213" i="4"/>
  <c r="A213" i="5"/>
  <c r="A213" i="3"/>
  <c r="A205" i="5"/>
  <c r="A205" i="4"/>
  <c r="A205" i="3"/>
  <c r="A197" i="5"/>
  <c r="A197" i="4"/>
  <c r="A197" i="3"/>
  <c r="A189" i="5"/>
  <c r="A189" i="4"/>
  <c r="A189" i="3"/>
  <c r="A181" i="5"/>
  <c r="A181" i="4"/>
  <c r="A181" i="3"/>
  <c r="A173" i="5"/>
  <c r="A173" i="4"/>
  <c r="A173" i="3"/>
  <c r="A165" i="5"/>
  <c r="A165" i="4"/>
  <c r="A165" i="3"/>
  <c r="A157" i="5"/>
  <c r="A157" i="4"/>
  <c r="A157" i="3"/>
  <c r="A149" i="5"/>
  <c r="A149" i="4"/>
  <c r="A149" i="3"/>
  <c r="A141" i="5"/>
  <c r="A141" i="4"/>
  <c r="A141" i="3"/>
  <c r="A133" i="5"/>
  <c r="A133" i="4"/>
  <c r="A133" i="3"/>
  <c r="A125" i="5"/>
  <c r="A125" i="4"/>
  <c r="A125" i="3"/>
  <c r="A117" i="5"/>
  <c r="A117" i="4"/>
  <c r="A117" i="3"/>
  <c r="A109" i="5"/>
  <c r="A109" i="4"/>
  <c r="A109" i="3"/>
  <c r="A101" i="5"/>
  <c r="A101" i="4"/>
  <c r="A101" i="3"/>
  <c r="A93" i="5"/>
  <c r="A93" i="4"/>
  <c r="A93" i="3"/>
  <c r="A85" i="5"/>
  <c r="A85" i="4"/>
  <c r="A85" i="3"/>
  <c r="A77" i="5"/>
  <c r="A77" i="4"/>
  <c r="A77" i="3"/>
  <c r="A69" i="5"/>
  <c r="A69" i="4"/>
  <c r="A69" i="3"/>
  <c r="A61" i="5"/>
  <c r="A61" i="4"/>
  <c r="A61" i="3"/>
  <c r="A49" i="5"/>
  <c r="A49" i="4"/>
  <c r="A49" i="3"/>
  <c r="A37" i="5"/>
  <c r="A37" i="4"/>
  <c r="A37" i="3"/>
  <c r="A471" i="5"/>
  <c r="A471" i="4"/>
  <c r="A467" i="5"/>
  <c r="A467" i="4"/>
  <c r="A459" i="5"/>
  <c r="A459" i="4"/>
  <c r="A451" i="5"/>
  <c r="A451" i="4"/>
  <c r="A439" i="5"/>
  <c r="A439" i="4"/>
  <c r="A474" i="5"/>
  <c r="A474" i="3"/>
  <c r="A474" i="4"/>
  <c r="A470" i="5"/>
  <c r="A470" i="3"/>
  <c r="A470" i="4"/>
  <c r="A466" i="5"/>
  <c r="A466" i="3"/>
  <c r="A466" i="4"/>
  <c r="A462" i="5"/>
  <c r="A462" i="3"/>
  <c r="A462" i="4"/>
  <c r="A458" i="5"/>
  <c r="A458" i="3"/>
  <c r="A458" i="4"/>
  <c r="A454" i="5"/>
  <c r="A454" i="3"/>
  <c r="A454" i="4"/>
  <c r="A450" i="5"/>
  <c r="A450" i="4"/>
  <c r="A450" i="3"/>
  <c r="A446" i="5"/>
  <c r="A446" i="4"/>
  <c r="A446" i="3"/>
  <c r="A442" i="5"/>
  <c r="A442" i="4"/>
  <c r="A442" i="3"/>
  <c r="A438" i="5"/>
  <c r="A438" i="4"/>
  <c r="A438" i="3"/>
  <c r="A434" i="5"/>
  <c r="A434" i="4"/>
  <c r="A434" i="3"/>
  <c r="A430" i="5"/>
  <c r="A430" i="4"/>
  <c r="A430" i="3"/>
  <c r="A426" i="5"/>
  <c r="A426" i="4"/>
  <c r="A426" i="3"/>
  <c r="A422" i="5"/>
  <c r="A422" i="4"/>
  <c r="A422" i="3"/>
  <c r="A418" i="5"/>
  <c r="A418" i="4"/>
  <c r="A418" i="3"/>
  <c r="A414" i="5"/>
  <c r="A414" i="4"/>
  <c r="A414" i="3"/>
  <c r="A410" i="5"/>
  <c r="A410" i="4"/>
  <c r="A410" i="3"/>
  <c r="A406" i="5"/>
  <c r="A406" i="4"/>
  <c r="A406" i="3"/>
  <c r="A402" i="5"/>
  <c r="A402" i="4"/>
  <c r="A402" i="3"/>
  <c r="A398" i="5"/>
  <c r="A398" i="4"/>
  <c r="A398" i="3"/>
  <c r="A394" i="5"/>
  <c r="A394" i="4"/>
  <c r="A394" i="3"/>
  <c r="A390" i="5"/>
  <c r="A390" i="4"/>
  <c r="A390" i="3"/>
  <c r="A386" i="5"/>
  <c r="A386" i="4"/>
  <c r="A386" i="3"/>
  <c r="A382" i="5"/>
  <c r="A382" i="4"/>
  <c r="A382" i="3"/>
  <c r="A378" i="5"/>
  <c r="A378" i="4"/>
  <c r="A378" i="3"/>
  <c r="A374" i="5"/>
  <c r="A374" i="4"/>
  <c r="A374" i="3"/>
  <c r="A370" i="5"/>
  <c r="A370" i="4"/>
  <c r="A370" i="3"/>
  <c r="A366" i="5"/>
  <c r="A366" i="3"/>
  <c r="A366" i="4"/>
  <c r="A362" i="5"/>
  <c r="A362" i="4"/>
  <c r="A362" i="3"/>
  <c r="A358" i="5"/>
  <c r="A358" i="4"/>
  <c r="A358" i="3"/>
  <c r="A354" i="5"/>
  <c r="A354" i="4"/>
  <c r="A354" i="3"/>
  <c r="A350" i="5"/>
  <c r="A350" i="3"/>
  <c r="A350" i="4"/>
  <c r="A346" i="5"/>
  <c r="A346" i="4"/>
  <c r="A346" i="3"/>
  <c r="A342" i="5"/>
  <c r="A342" i="4"/>
  <c r="A342" i="3"/>
  <c r="A338" i="5"/>
  <c r="A338" i="4"/>
  <c r="A338" i="3"/>
  <c r="A334" i="5"/>
  <c r="A334" i="3"/>
  <c r="A334" i="4"/>
  <c r="A330" i="5"/>
  <c r="A330" i="4"/>
  <c r="A330" i="3"/>
  <c r="A326" i="5"/>
  <c r="A326" i="4"/>
  <c r="A326" i="3"/>
  <c r="A322" i="5"/>
  <c r="A322" i="4"/>
  <c r="A322" i="3"/>
  <c r="A318" i="5"/>
  <c r="A318" i="3"/>
  <c r="A318" i="4"/>
  <c r="A314" i="5"/>
  <c r="A314" i="4"/>
  <c r="A314" i="3"/>
  <c r="A310" i="5"/>
  <c r="A310" i="4"/>
  <c r="A310" i="3"/>
  <c r="A306" i="5"/>
  <c r="A306" i="4"/>
  <c r="A306" i="3"/>
  <c r="A302" i="5"/>
  <c r="A302" i="3"/>
  <c r="A302" i="4"/>
  <c r="A298" i="5"/>
  <c r="A298" i="4"/>
  <c r="A298" i="3"/>
  <c r="A294" i="5"/>
  <c r="A294" i="4"/>
  <c r="A294" i="3"/>
  <c r="A290" i="5"/>
  <c r="A290" i="4"/>
  <c r="A290" i="3"/>
  <c r="A286" i="5"/>
  <c r="A286" i="3"/>
  <c r="A286" i="4"/>
  <c r="A282" i="5"/>
  <c r="A282" i="4"/>
  <c r="A282" i="3"/>
  <c r="A278" i="5"/>
  <c r="A278" i="4"/>
  <c r="A278" i="3"/>
  <c r="A274" i="5"/>
  <c r="A274" i="4"/>
  <c r="A274" i="3"/>
  <c r="A270" i="5"/>
  <c r="A270" i="3"/>
  <c r="A270" i="4"/>
  <c r="A266" i="5"/>
  <c r="A266" i="4"/>
  <c r="A266" i="3"/>
  <c r="A262" i="5"/>
  <c r="A262" i="4"/>
  <c r="A262" i="3"/>
  <c r="A258" i="5"/>
  <c r="A258" i="4"/>
  <c r="A258" i="3"/>
  <c r="A254" i="5"/>
  <c r="A254" i="3"/>
  <c r="A254" i="4"/>
  <c r="A250" i="5"/>
  <c r="A250" i="4"/>
  <c r="A250" i="3"/>
  <c r="A246" i="5"/>
  <c r="A246" i="4"/>
  <c r="A246" i="3"/>
  <c r="A242" i="5"/>
  <c r="A242" i="4"/>
  <c r="A242" i="3"/>
  <c r="A238" i="5"/>
  <c r="A238" i="3"/>
  <c r="A238" i="4"/>
  <c r="A234" i="5"/>
  <c r="A234" i="4"/>
  <c r="A234" i="3"/>
  <c r="A230" i="5"/>
  <c r="A230" i="4"/>
  <c r="A230" i="3"/>
  <c r="A226" i="5"/>
  <c r="A226" i="4"/>
  <c r="A226" i="3"/>
  <c r="A222" i="5"/>
  <c r="A222" i="3"/>
  <c r="A222" i="4"/>
  <c r="A218" i="5"/>
  <c r="A218" i="4"/>
  <c r="A218" i="3"/>
  <c r="A214" i="5"/>
  <c r="A214" i="4"/>
  <c r="A214" i="3"/>
  <c r="A210" i="5"/>
  <c r="A210" i="4"/>
  <c r="A210" i="3"/>
  <c r="A206" i="5"/>
  <c r="A206" i="3"/>
  <c r="A206" i="4"/>
  <c r="A202" i="5"/>
  <c r="A202" i="4"/>
  <c r="A202" i="3"/>
  <c r="A198" i="5"/>
  <c r="A198" i="4"/>
  <c r="A198" i="3"/>
  <c r="A194" i="5"/>
  <c r="A194" i="4"/>
  <c r="A194" i="3"/>
  <c r="A190" i="5"/>
  <c r="A190" i="3"/>
  <c r="A190" i="4"/>
  <c r="A186" i="5"/>
  <c r="A186" i="4"/>
  <c r="A186" i="3"/>
  <c r="A182" i="5"/>
  <c r="A182" i="4"/>
  <c r="A182" i="3"/>
  <c r="A178" i="5"/>
  <c r="A178" i="4"/>
  <c r="A178" i="3"/>
  <c r="A174" i="5"/>
  <c r="A174" i="3"/>
  <c r="A174" i="4"/>
  <c r="A170" i="5"/>
  <c r="A170" i="4"/>
  <c r="A170" i="3"/>
  <c r="A166" i="5"/>
  <c r="A166" i="4"/>
  <c r="A166" i="3"/>
  <c r="A162" i="5"/>
  <c r="A162" i="4"/>
  <c r="A162" i="3"/>
  <c r="A158" i="5"/>
  <c r="A158" i="3"/>
  <c r="A158" i="4"/>
  <c r="A154" i="5"/>
  <c r="A154" i="4"/>
  <c r="A154" i="3"/>
  <c r="A150" i="5"/>
  <c r="A150" i="4"/>
  <c r="A150" i="3"/>
  <c r="A146" i="5"/>
  <c r="A146" i="4"/>
  <c r="A146" i="3"/>
  <c r="A142" i="5"/>
  <c r="A142" i="3"/>
  <c r="A142" i="4"/>
  <c r="A138" i="5"/>
  <c r="A138" i="4"/>
  <c r="A138" i="3"/>
  <c r="A134" i="5"/>
  <c r="A134" i="4"/>
  <c r="A134" i="3"/>
  <c r="A130" i="5"/>
  <c r="A130" i="4"/>
  <c r="A130" i="3"/>
  <c r="A126" i="5"/>
  <c r="A126" i="3"/>
  <c r="A126" i="4"/>
  <c r="A122" i="5"/>
  <c r="A122" i="4"/>
  <c r="A122" i="3"/>
  <c r="A118" i="5"/>
  <c r="A118" i="4"/>
  <c r="A118" i="3"/>
  <c r="A114" i="5"/>
  <c r="A114" i="4"/>
  <c r="A114" i="3"/>
  <c r="A110" i="5"/>
  <c r="A110" i="4"/>
  <c r="A110" i="3"/>
  <c r="A106" i="5"/>
  <c r="A106" i="4"/>
  <c r="A106" i="3"/>
  <c r="A102" i="5"/>
  <c r="A102" i="4"/>
  <c r="A102" i="3"/>
  <c r="A98" i="5"/>
  <c r="A98" i="4"/>
  <c r="A98" i="3"/>
  <c r="A94" i="5"/>
  <c r="A94" i="3"/>
  <c r="A94" i="4"/>
  <c r="A90" i="5"/>
  <c r="A90" i="4"/>
  <c r="A90" i="3"/>
  <c r="A86" i="5"/>
  <c r="A86" i="4"/>
  <c r="A86" i="3"/>
  <c r="A82" i="5"/>
  <c r="A82" i="4"/>
  <c r="A82" i="3"/>
  <c r="A78" i="5"/>
  <c r="A78" i="4"/>
  <c r="A78" i="3"/>
  <c r="A74" i="5"/>
  <c r="A74" i="4"/>
  <c r="A74" i="3"/>
  <c r="A70" i="5"/>
  <c r="A70" i="4"/>
  <c r="A70" i="3"/>
  <c r="A66" i="5"/>
  <c r="A66" i="4"/>
  <c r="A66" i="3"/>
  <c r="A62" i="5"/>
  <c r="A62" i="4"/>
  <c r="A62" i="3"/>
  <c r="A58" i="5"/>
  <c r="A58" i="4"/>
  <c r="A58" i="3"/>
  <c r="A54" i="5"/>
  <c r="A54" i="4"/>
  <c r="A54" i="3"/>
  <c r="A50" i="5"/>
  <c r="A50" i="4"/>
  <c r="A50" i="3"/>
  <c r="A46" i="5"/>
  <c r="A46" i="4"/>
  <c r="A46" i="3"/>
  <c r="A42" i="5"/>
  <c r="A42" i="4"/>
  <c r="A42" i="3"/>
  <c r="A38" i="5"/>
  <c r="A38" i="4"/>
  <c r="A38" i="3"/>
  <c r="A34" i="5"/>
  <c r="A34" i="4"/>
  <c r="A34" i="3"/>
  <c r="A30" i="5"/>
  <c r="A30" i="3"/>
  <c r="A30" i="4"/>
  <c r="A467" i="3"/>
  <c r="A451" i="3"/>
  <c r="A435" i="3"/>
  <c r="A419" i="3"/>
  <c r="A403" i="3"/>
  <c r="A387" i="3"/>
  <c r="A371" i="3"/>
  <c r="A355" i="3"/>
  <c r="A339" i="3"/>
  <c r="A323" i="3"/>
  <c r="A307" i="3"/>
  <c r="A291" i="3"/>
  <c r="A275" i="3"/>
  <c r="A259" i="3"/>
  <c r="A243" i="3"/>
  <c r="A227" i="3"/>
  <c r="A211" i="3"/>
  <c r="A195" i="3"/>
  <c r="B23" i="2"/>
  <c r="B25" i="2"/>
  <c r="B96" i="2"/>
  <c r="B22" i="2" l="1"/>
  <c r="B95" i="2"/>
  <c r="A20" i="1" l="1"/>
  <c r="A20" i="3" s="1"/>
  <c r="A21" i="1"/>
  <c r="B21" i="2"/>
  <c r="B94" i="2"/>
  <c r="A20" i="5" l="1"/>
  <c r="A20" i="4"/>
  <c r="B20" i="2"/>
  <c r="B93" i="2"/>
  <c r="A16" i="1" l="1"/>
  <c r="A22" i="1"/>
  <c r="A21" i="5"/>
  <c r="A21" i="4"/>
  <c r="A21" i="3"/>
  <c r="B19" i="2"/>
  <c r="B92" i="2"/>
  <c r="A16" i="5" l="1"/>
  <c r="A16" i="3"/>
  <c r="A16" i="4"/>
  <c r="A10" i="1"/>
  <c r="A17" i="1"/>
  <c r="A4" i="1"/>
  <c r="B18" i="2"/>
  <c r="B91" i="2"/>
  <c r="A17" i="4" l="1"/>
  <c r="A17" i="5"/>
  <c r="A17" i="3"/>
  <c r="A22" i="4"/>
  <c r="A22" i="3"/>
  <c r="A22" i="5"/>
  <c r="B17" i="2"/>
  <c r="B90" i="2"/>
  <c r="A11" i="1" l="1"/>
  <c r="A11" i="3" s="1"/>
  <c r="A5" i="1"/>
  <c r="A5" i="5" s="1"/>
  <c r="A23" i="1"/>
  <c r="A23" i="5" s="1"/>
  <c r="A18" i="1"/>
  <c r="B16" i="2"/>
  <c r="B89" i="2"/>
  <c r="A11" i="4" l="1"/>
  <c r="A5" i="3"/>
  <c r="A23" i="3"/>
  <c r="A23" i="4"/>
  <c r="A5" i="4"/>
  <c r="A11" i="5"/>
  <c r="A18" i="4"/>
  <c r="A18" i="5"/>
  <c r="A18" i="3"/>
  <c r="B15" i="2"/>
  <c r="B88" i="2"/>
  <c r="A6" i="1" l="1"/>
  <c r="A24" i="1"/>
  <c r="A12" i="1"/>
  <c r="B14" i="2"/>
  <c r="B87" i="2"/>
  <c r="A24" i="4" l="1"/>
  <c r="A24" i="3"/>
  <c r="A24" i="5"/>
  <c r="A6" i="3"/>
  <c r="A6" i="4"/>
  <c r="A6" i="5"/>
  <c r="B37" i="2"/>
  <c r="A19" i="1"/>
  <c r="A12" i="4"/>
  <c r="A12" i="5"/>
  <c r="A12" i="3"/>
  <c r="B86" i="2"/>
  <c r="B36" i="2" s="1"/>
  <c r="B13" i="2"/>
  <c r="A19" i="4" l="1"/>
  <c r="A19" i="3"/>
  <c r="A19" i="5"/>
  <c r="A26" i="5"/>
  <c r="A26" i="4"/>
  <c r="A26" i="3"/>
  <c r="A4" i="4"/>
  <c r="A4" i="3"/>
  <c r="A4" i="5"/>
  <c r="A10" i="5"/>
  <c r="A10" i="4"/>
  <c r="A10" i="3"/>
  <c r="A25" i="5"/>
  <c r="A25" i="4"/>
  <c r="A25" i="3"/>
  <c r="B85" i="2"/>
  <c r="B12" i="2"/>
  <c r="B35" i="2" l="1"/>
  <c r="A15" i="1"/>
  <c r="A14" i="1"/>
  <c r="A13" i="1"/>
  <c r="B84" i="2"/>
  <c r="B34" i="2" s="1"/>
  <c r="B11" i="2"/>
  <c r="A13" i="5" l="1"/>
  <c r="A13" i="4"/>
  <c r="A13" i="3"/>
  <c r="A14" i="5"/>
  <c r="A14" i="4"/>
  <c r="A14" i="3"/>
  <c r="B83" i="2"/>
  <c r="B10" i="2"/>
  <c r="B33" i="2" l="1"/>
  <c r="A7" i="1"/>
  <c r="A8" i="1"/>
  <c r="A9" i="1"/>
  <c r="A3" i="1"/>
  <c r="A2" i="1"/>
  <c r="B82" i="2"/>
  <c r="B32" i="2" s="1"/>
  <c r="B9" i="2"/>
  <c r="A7" i="5" l="1"/>
  <c r="A7" i="4"/>
  <c r="A7" i="3"/>
  <c r="A2" i="4"/>
  <c r="A2" i="5"/>
  <c r="A2" i="3"/>
  <c r="A3" i="4"/>
  <c r="A3" i="3"/>
  <c r="A3" i="5"/>
  <c r="A9" i="3"/>
  <c r="A9" i="5"/>
  <c r="A9" i="4"/>
  <c r="A8" i="4"/>
  <c r="A8" i="5"/>
  <c r="A8" i="3"/>
  <c r="B81" i="2"/>
  <c r="B31" i="2" s="1"/>
  <c r="B8" i="2"/>
  <c r="B80" i="2" l="1"/>
  <c r="B30" i="2" s="1"/>
  <c r="B7" i="2"/>
  <c r="B79" i="2" l="1"/>
  <c r="B29" i="2" s="1"/>
  <c r="B6" i="2"/>
  <c r="B78" i="2" l="1"/>
  <c r="B28" i="2" s="1"/>
  <c r="B5" i="2"/>
  <c r="B77" i="2" l="1"/>
  <c r="B27" i="2" s="1"/>
  <c r="B4" i="2"/>
  <c r="B76" i="2" l="1"/>
  <c r="B26" i="2" s="1"/>
  <c r="B3" i="2"/>
  <c r="A15" i="3" l="1"/>
  <c r="A1" i="3" s="1"/>
  <c r="A15" i="4"/>
  <c r="A1" i="4" s="1"/>
  <c r="A15" i="5"/>
  <c r="A1" i="5" s="1"/>
  <c r="B75" i="2"/>
  <c r="B74" i="2" s="1"/>
  <c r="B73" i="2" s="1"/>
  <c r="B72" i="2" s="1"/>
  <c r="B71" i="2" s="1"/>
  <c r="B70" i="2" s="1"/>
  <c r="B69" i="2" s="1"/>
  <c r="B68" i="2" s="1"/>
  <c r="B67" i="2" s="1"/>
  <c r="B66" i="2" s="1"/>
  <c r="B65" i="2" s="1"/>
  <c r="B64" i="2" s="1"/>
  <c r="B63" i="2" s="1"/>
  <c r="B62" i="2" s="1"/>
  <c r="B61" i="2" s="1"/>
  <c r="B60" i="2" s="1"/>
  <c r="B59" i="2" s="1"/>
  <c r="B58" i="2" s="1"/>
  <c r="B57" i="2" s="1"/>
  <c r="B56" i="2" s="1"/>
  <c r="B55" i="2" s="1"/>
  <c r="B54" i="2" s="1"/>
  <c r="B53" i="2" s="1"/>
  <c r="B52" i="2" s="1"/>
  <c r="B51" i="2" s="1"/>
  <c r="B50" i="2" s="1"/>
  <c r="B49" i="2" s="1"/>
  <c r="B48" i="2" s="1"/>
  <c r="B47" i="2" s="1"/>
  <c r="B46" i="2" s="1"/>
  <c r="B45" i="2" s="1"/>
  <c r="B44" i="2" s="1"/>
  <c r="B43" i="2" s="1"/>
  <c r="B42" i="2" s="1"/>
  <c r="B41" i="2" s="1"/>
  <c r="B40" i="2" s="1"/>
  <c r="B2" i="2"/>
</calcChain>
</file>

<file path=xl/sharedStrings.xml><?xml version="1.0" encoding="utf-8"?>
<sst xmlns="http://schemas.openxmlformats.org/spreadsheetml/2006/main" count="216" uniqueCount="162">
  <si>
    <t>Freq [Hz]</t>
  </si>
  <si>
    <t>Duration [ms]</t>
  </si>
  <si>
    <t>Note name</t>
  </si>
  <si>
    <t>Note duration [1/x]</t>
  </si>
  <si>
    <t>Parameters</t>
  </si>
  <si>
    <t>C</t>
  </si>
  <si>
    <t>Default octave</t>
  </si>
  <si>
    <t>E</t>
  </si>
  <si>
    <t>Full note duration</t>
  </si>
  <si>
    <t>Tuning</t>
  </si>
  <si>
    <t>Tuning Step</t>
  </si>
  <si>
    <t>G</t>
  </si>
  <si>
    <t>Music identifier</t>
  </si>
  <si>
    <t>END marker</t>
  </si>
  <si>
    <t>P</t>
  </si>
  <si>
    <t>C+</t>
  </si>
  <si>
    <t>B</t>
  </si>
  <si>
    <t>A</t>
  </si>
  <si>
    <t>F</t>
  </si>
  <si>
    <t>D</t>
  </si>
  <si>
    <t>end</t>
  </si>
  <si>
    <t>Note text</t>
  </si>
  <si>
    <t>Note Freq</t>
  </si>
  <si>
    <t>C-</t>
  </si>
  <si>
    <t>C#-</t>
  </si>
  <si>
    <t>D-</t>
  </si>
  <si>
    <t>D#-</t>
  </si>
  <si>
    <t>E-</t>
  </si>
  <si>
    <t>F-</t>
  </si>
  <si>
    <t>F#-</t>
  </si>
  <si>
    <t>G-</t>
  </si>
  <si>
    <t>G#-</t>
  </si>
  <si>
    <t>A-</t>
  </si>
  <si>
    <t>A#-</t>
  </si>
  <si>
    <t>B-</t>
  </si>
  <si>
    <t>C#</t>
  </si>
  <si>
    <t>D#</t>
  </si>
  <si>
    <t>F#</t>
  </si>
  <si>
    <t>G#</t>
  </si>
  <si>
    <t>A#</t>
  </si>
  <si>
    <t>C#+</t>
  </si>
  <si>
    <t>D+</t>
  </si>
  <si>
    <t>D#+</t>
  </si>
  <si>
    <t>E+</t>
  </si>
  <si>
    <t>F+</t>
  </si>
  <si>
    <t>F#+</t>
  </si>
  <si>
    <t>G+</t>
  </si>
  <si>
    <t>G#+</t>
  </si>
  <si>
    <t>A+</t>
  </si>
  <si>
    <t>A#+</t>
  </si>
  <si>
    <t>B+</t>
  </si>
  <si>
    <t>_</t>
  </si>
  <si>
    <t>C0</t>
  </si>
  <si>
    <t>C#0</t>
  </si>
  <si>
    <t>D0</t>
  </si>
  <si>
    <t>D#0</t>
  </si>
  <si>
    <t>E0</t>
  </si>
  <si>
    <t>F0</t>
  </si>
  <si>
    <t>F#0</t>
  </si>
  <si>
    <t>G0</t>
  </si>
  <si>
    <t>G#0</t>
  </si>
  <si>
    <t>A0</t>
  </si>
  <si>
    <t>A#0</t>
  </si>
  <si>
    <t>B0</t>
  </si>
  <si>
    <t>C1</t>
  </si>
  <si>
    <t>C#1</t>
  </si>
  <si>
    <t>D1</t>
  </si>
  <si>
    <t>D#1</t>
  </si>
  <si>
    <t>E1</t>
  </si>
  <si>
    <t>F1</t>
  </si>
  <si>
    <t>F#1</t>
  </si>
  <si>
    <t>G1</t>
  </si>
  <si>
    <t>G#1</t>
  </si>
  <si>
    <t>A1</t>
  </si>
  <si>
    <t>A#1</t>
  </si>
  <si>
    <t>B1</t>
  </si>
  <si>
    <t>C2</t>
  </si>
  <si>
    <t>C#2</t>
  </si>
  <si>
    <t>D2</t>
  </si>
  <si>
    <t>D#2</t>
  </si>
  <si>
    <t>E2</t>
  </si>
  <si>
    <t>F2</t>
  </si>
  <si>
    <t>F#2</t>
  </si>
  <si>
    <t>G2</t>
  </si>
  <si>
    <t>G#2</t>
  </si>
  <si>
    <t>A2</t>
  </si>
  <si>
    <t>A#2</t>
  </si>
  <si>
    <t>B2</t>
  </si>
  <si>
    <t>C3</t>
  </si>
  <si>
    <t>C#3</t>
  </si>
  <si>
    <t>D3</t>
  </si>
  <si>
    <t>D#3</t>
  </si>
  <si>
    <t>E3</t>
  </si>
  <si>
    <t>F3</t>
  </si>
  <si>
    <t>F#3</t>
  </si>
  <si>
    <t>G3</t>
  </si>
  <si>
    <t>G#3</t>
  </si>
  <si>
    <t>A3</t>
  </si>
  <si>
    <t>A#3</t>
  </si>
  <si>
    <t>B3</t>
  </si>
  <si>
    <t>C4</t>
  </si>
  <si>
    <t>C#4</t>
  </si>
  <si>
    <t>D4</t>
  </si>
  <si>
    <t>D#4</t>
  </si>
  <si>
    <t>E4</t>
  </si>
  <si>
    <t>F4</t>
  </si>
  <si>
    <t>F#4</t>
  </si>
  <si>
    <t>G4</t>
  </si>
  <si>
    <t>G#4</t>
  </si>
  <si>
    <t>A4</t>
  </si>
  <si>
    <t>A#4</t>
  </si>
  <si>
    <t>B4</t>
  </si>
  <si>
    <t>C5</t>
  </si>
  <si>
    <t>C#5</t>
  </si>
  <si>
    <t>D5</t>
  </si>
  <si>
    <t>D#5</t>
  </si>
  <si>
    <t>E5</t>
  </si>
  <si>
    <t>F5</t>
  </si>
  <si>
    <t>F#5</t>
  </si>
  <si>
    <t>G5</t>
  </si>
  <si>
    <t>G#5</t>
  </si>
  <si>
    <t>A5</t>
  </si>
  <si>
    <t>A#5</t>
  </si>
  <si>
    <t>B5</t>
  </si>
  <si>
    <t>C6</t>
  </si>
  <si>
    <t>C#6</t>
  </si>
  <si>
    <t>D6</t>
  </si>
  <si>
    <t>D#6</t>
  </si>
  <si>
    <t>E6</t>
  </si>
  <si>
    <t>F6</t>
  </si>
  <si>
    <t>F#6</t>
  </si>
  <si>
    <t>G6</t>
  </si>
  <si>
    <t>G#6</t>
  </si>
  <si>
    <t>A6</t>
  </si>
  <si>
    <t>A#6</t>
  </si>
  <si>
    <t>B6</t>
  </si>
  <si>
    <t>C7</t>
  </si>
  <si>
    <t>C#7</t>
  </si>
  <si>
    <t>D7</t>
  </si>
  <si>
    <t>D#7</t>
  </si>
  <si>
    <t>E7</t>
  </si>
  <si>
    <t>F7</t>
  </si>
  <si>
    <t>F#7</t>
  </si>
  <si>
    <t>G7</t>
  </si>
  <si>
    <t>G#7</t>
  </si>
  <si>
    <t>A7</t>
  </si>
  <si>
    <t>A#7</t>
  </si>
  <si>
    <t>B7</t>
  </si>
  <si>
    <t>C8</t>
  </si>
  <si>
    <t>C#8</t>
  </si>
  <si>
    <t>D8</t>
  </si>
  <si>
    <t>D#8</t>
  </si>
  <si>
    <t>E8</t>
  </si>
  <si>
    <t>F8</t>
  </si>
  <si>
    <t>F#8</t>
  </si>
  <si>
    <t>G8</t>
  </si>
  <si>
    <t>G#8</t>
  </si>
  <si>
    <t>A8</t>
  </si>
  <si>
    <t>A#8</t>
  </si>
  <si>
    <t>B8</t>
  </si>
  <si>
    <t>jingleBells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</si>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</sst>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ms&quot;"/>
    <numFmt numFmtId="165" formatCode="0.00&quot; Hz&quot;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1" fillId="0" borderId="0" xfId="1"/>
    <xf numFmtId="2" fontId="1" fillId="0" borderId="0" xfId="1" applyNumberFormat="1"/>
    <xf numFmtId="0" fontId="1" fillId="2" borderId="0" xfId="1" applyFill="1"/>
    <xf numFmtId="0" fontId="0" fillId="3" borderId="0" xfId="0" applyFill="1"/>
    <xf numFmtId="165" fontId="1" fillId="2" borderId="0" xfId="1" applyNumberFormat="1" applyFill="1"/>
    <xf numFmtId="164" fontId="1" fillId="2" borderId="0" xfId="1" applyNumberFormat="1" applyFill="1"/>
    <xf numFmtId="0" fontId="1" fillId="3" borderId="0" xfId="1" applyFill="1"/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Normal" xfId="0" builtinId="0"/>
    <cellStyle name="Normal 2" xfId="1" xr:uid="{25752CD4-1647-4DAB-A2D2-4D68795F6C27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7</xdr:row>
          <xdr:rowOff>66675</xdr:rowOff>
        </xdr:from>
        <xdr:to>
          <xdr:col>7</xdr:col>
          <xdr:colOff>1238250</xdr:colOff>
          <xdr:row>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3B3E-0E9E-4394-923E-4376027F97F5}">
  <sheetPr codeName="Sheet1"/>
  <dimension ref="A1:J475"/>
  <sheetViews>
    <sheetView tabSelected="1" workbookViewId="0">
      <selection activeCell="C60" sqref="C60"/>
    </sheetView>
  </sheetViews>
  <sheetFormatPr defaultRowHeight="15" x14ac:dyDescent="0.25"/>
  <cols>
    <col min="1" max="2" width="13.85546875" customWidth="1"/>
    <col min="3" max="3" width="11.7109375" style="10" customWidth="1"/>
    <col min="4" max="4" width="17.85546875" style="10" customWidth="1"/>
    <col min="8" max="8" width="20.5703125" customWidth="1"/>
    <col min="9" max="9" width="12" bestFit="1" customWidth="1"/>
  </cols>
  <sheetData>
    <row r="1" spans="1:10" x14ac:dyDescent="0.25">
      <c r="A1" s="4" t="s">
        <v>0</v>
      </c>
      <c r="B1" s="4" t="s">
        <v>1</v>
      </c>
      <c r="C1" s="10" t="s">
        <v>2</v>
      </c>
      <c r="D1" s="10" t="s">
        <v>3</v>
      </c>
      <c r="H1" s="12" t="s">
        <v>4</v>
      </c>
      <c r="I1" s="12"/>
      <c r="J1" s="12"/>
    </row>
    <row r="2" spans="1:10" x14ac:dyDescent="0.25">
      <c r="A2" s="4">
        <f>IF(OR($C2="END", $D2="END"),$I$7,IFERROR(ROUND(VLOOKUP(C2,Notes!$A$14:$B$147,2,FALSE),0),""))</f>
        <v>196</v>
      </c>
      <c r="B2" s="4">
        <f>IF(OR(C2="END", D2="END"),$J$7,IFERROR(ROUND($I$3/D2,0),""))</f>
        <v>333</v>
      </c>
      <c r="C2" s="10" t="s">
        <v>95</v>
      </c>
      <c r="D2" s="10">
        <v>3</v>
      </c>
      <c r="H2" s="4" t="s">
        <v>6</v>
      </c>
      <c r="I2" s="3">
        <v>4</v>
      </c>
    </row>
    <row r="3" spans="1:10" x14ac:dyDescent="0.25">
      <c r="A3" s="4">
        <f>IF(OR($C3="END", $D3="END"),$I$7,IFERROR(ROUND(VLOOKUP(C3,Notes!$A$14:$B$147,2,FALSE),0),""))</f>
        <v>196</v>
      </c>
      <c r="B3" s="4">
        <f t="shared" ref="B3:B5" si="0">IF(OR(C3="END", D3="END"),$J$7,IFERROR(ROUND($I$3/D3,0),""))</f>
        <v>333</v>
      </c>
      <c r="C3" s="10" t="s">
        <v>95</v>
      </c>
      <c r="D3" s="10">
        <v>3</v>
      </c>
      <c r="H3" s="4" t="s">
        <v>8</v>
      </c>
      <c r="I3" s="6">
        <v>1000</v>
      </c>
    </row>
    <row r="4" spans="1:10" x14ac:dyDescent="0.25">
      <c r="A4" s="4">
        <f>IF(OR($C4="END", $D4="END"),$I$7,IFERROR(ROUND(VLOOKUP(C4,Notes!$A$14:$B$147,2,FALSE),0),""))</f>
        <v>330</v>
      </c>
      <c r="B4" s="4">
        <f t="shared" si="0"/>
        <v>333</v>
      </c>
      <c r="C4" s="10" t="s">
        <v>104</v>
      </c>
      <c r="D4" s="10">
        <v>3</v>
      </c>
      <c r="H4" s="4" t="s">
        <v>9</v>
      </c>
      <c r="I4" s="5">
        <v>440</v>
      </c>
    </row>
    <row r="5" spans="1:10" x14ac:dyDescent="0.25">
      <c r="A5" s="4">
        <f>IF(OR($C5="END", $D5="END"),$I$7,IFERROR(ROUND(VLOOKUP(C5,Notes!$A$14:$B$147,2,FALSE),0),""))</f>
        <v>294</v>
      </c>
      <c r="B5" s="4">
        <f t="shared" si="0"/>
        <v>333</v>
      </c>
      <c r="C5" s="10" t="s">
        <v>102</v>
      </c>
      <c r="D5" s="10">
        <v>3</v>
      </c>
      <c r="H5" s="4" t="s">
        <v>10</v>
      </c>
      <c r="I5" s="3">
        <v>1.0594630943592953</v>
      </c>
    </row>
    <row r="6" spans="1:10" x14ac:dyDescent="0.25">
      <c r="A6" s="4">
        <f>IF(OR($C6="END", $D6="END"),$I$7,IFERROR(ROUND(VLOOKUP(C6,Notes!$A$14:$B$147,2,FALSE),0),""))</f>
        <v>262</v>
      </c>
      <c r="B6" s="4">
        <f t="shared" ref="B6:B24" si="1">IF(OR(C6="END", D6="END"),$J$7,IFERROR(ROUND($I$3/D6,0),""))</f>
        <v>333</v>
      </c>
      <c r="C6" s="10" t="s">
        <v>100</v>
      </c>
      <c r="D6" s="10">
        <v>3</v>
      </c>
      <c r="H6" s="4" t="s">
        <v>12</v>
      </c>
      <c r="I6" s="8" t="s">
        <v>160</v>
      </c>
    </row>
    <row r="7" spans="1:10" x14ac:dyDescent="0.25">
      <c r="A7" s="4">
        <f>IF(OR($C7="END", $D7="END"),$I$7,IFERROR(ROUND(VLOOKUP(C7,Notes!$A$14:$B$147,2,FALSE),0),""))</f>
        <v>196</v>
      </c>
      <c r="B7" s="4">
        <f t="shared" si="1"/>
        <v>1000</v>
      </c>
      <c r="C7" s="10" t="s">
        <v>95</v>
      </c>
      <c r="D7" s="10">
        <v>1</v>
      </c>
      <c r="H7" s="4" t="s">
        <v>13</v>
      </c>
      <c r="I7" s="11">
        <v>0</v>
      </c>
      <c r="J7" s="11">
        <v>0</v>
      </c>
    </row>
    <row r="8" spans="1:10" x14ac:dyDescent="0.25">
      <c r="A8" s="4">
        <f>IF(OR($C8="END", $D8="END"),$I$7,IFERROR(ROUND(VLOOKUP(C8,Notes!$A$14:$B$147,2,FALSE),0),""))</f>
        <v>196</v>
      </c>
      <c r="B8" s="4">
        <f>IF(OR(C8="END", D8="END"),$J$7,IFERROR(ROUND($I$3/D8,0),""))</f>
        <v>333</v>
      </c>
      <c r="C8" s="10" t="s">
        <v>95</v>
      </c>
      <c r="D8" s="10">
        <v>3</v>
      </c>
    </row>
    <row r="9" spans="1:10" x14ac:dyDescent="0.25">
      <c r="A9" s="4">
        <f>IF(OR($C9="END", $D9="END"),$I$7,IFERROR(ROUND(VLOOKUP(C9,Notes!$A$14:$B$147,2,FALSE),0),""))</f>
        <v>196</v>
      </c>
      <c r="B9" s="4">
        <f t="shared" ref="B9:B13" si="2">IF(OR(C9="END", D9="END"),$J$7,IFERROR(ROUND($I$3/D9,0),""))</f>
        <v>333</v>
      </c>
      <c r="C9" s="10" t="s">
        <v>95</v>
      </c>
      <c r="D9" s="10">
        <v>3</v>
      </c>
    </row>
    <row r="10" spans="1:10" x14ac:dyDescent="0.25">
      <c r="A10" s="4">
        <f>IF(OR($C10="END", $D10="END"),$I$7,IFERROR(ROUND(VLOOKUP(C10,Notes!$A$14:$B$147,2,FALSE),0),""))</f>
        <v>330</v>
      </c>
      <c r="B10" s="4">
        <f t="shared" si="2"/>
        <v>333</v>
      </c>
      <c r="C10" s="10" t="s">
        <v>104</v>
      </c>
      <c r="D10" s="10">
        <v>3</v>
      </c>
    </row>
    <row r="11" spans="1:10" x14ac:dyDescent="0.25">
      <c r="A11" s="4">
        <f>IF(OR($C11="END", $D11="END"),$I$7,IFERROR(ROUND(VLOOKUP(C11,Notes!$A$14:$B$147,2,FALSE),0),""))</f>
        <v>294</v>
      </c>
      <c r="B11" s="4">
        <f t="shared" si="2"/>
        <v>333</v>
      </c>
      <c r="C11" s="10" t="s">
        <v>102</v>
      </c>
      <c r="D11" s="10">
        <v>3</v>
      </c>
    </row>
    <row r="12" spans="1:10" x14ac:dyDescent="0.25">
      <c r="A12" s="4">
        <f>IF(OR($C12="END", $D12="END"),$I$7,IFERROR(ROUND(VLOOKUP(C12,Notes!$A$14:$B$147,2,FALSE),0),""))</f>
        <v>262</v>
      </c>
      <c r="B12" s="4">
        <f t="shared" si="2"/>
        <v>333</v>
      </c>
      <c r="C12" s="10" t="s">
        <v>100</v>
      </c>
      <c r="D12" s="10">
        <v>3</v>
      </c>
    </row>
    <row r="13" spans="1:10" x14ac:dyDescent="0.25">
      <c r="A13" s="4">
        <f>IF(OR($C13="END", $D13="END"),$I$7,IFERROR(ROUND(VLOOKUP(C13,Notes!$A$14:$B$147,2,FALSE),0),""))</f>
        <v>220</v>
      </c>
      <c r="B13" s="4">
        <f t="shared" si="2"/>
        <v>1000</v>
      </c>
      <c r="C13" s="10" t="s">
        <v>97</v>
      </c>
      <c r="D13" s="10">
        <v>1</v>
      </c>
    </row>
    <row r="14" spans="1:10" x14ac:dyDescent="0.25">
      <c r="A14" s="4">
        <f>IF(OR($C14="END", $D14="END"),$I$7,IFERROR(ROUND(VLOOKUP(C14,Notes!$A$14:$B$147,2,FALSE),0),""))</f>
        <v>220</v>
      </c>
      <c r="B14" s="4">
        <f t="shared" ref="B14:B15" si="3">IF(OR(C14="END", D14="END"),$J$7,IFERROR(ROUND($I$3/D14,0),""))</f>
        <v>333</v>
      </c>
      <c r="C14" s="10" t="s">
        <v>97</v>
      </c>
      <c r="D14" s="10">
        <v>3</v>
      </c>
    </row>
    <row r="15" spans="1:10" x14ac:dyDescent="0.25">
      <c r="A15" s="4">
        <f>IF(OR($C15="END", $D15="END"),$I$7,IFERROR(ROUND(VLOOKUP(C15,Notes!$A$14:$B$147,2,FALSE),0),""))</f>
        <v>220</v>
      </c>
      <c r="B15" s="4">
        <f t="shared" si="3"/>
        <v>333</v>
      </c>
      <c r="C15" s="10" t="s">
        <v>97</v>
      </c>
      <c r="D15" s="10">
        <v>3</v>
      </c>
    </row>
    <row r="16" spans="1:10" x14ac:dyDescent="0.25">
      <c r="A16" s="4">
        <f>IF(OR($C16="END", $D16="END"),$I$7,IFERROR(ROUND(VLOOKUP(C16,Notes!$A$14:$B$147,2,FALSE),0),""))</f>
        <v>349</v>
      </c>
      <c r="B16" s="4">
        <f t="shared" si="1"/>
        <v>333</v>
      </c>
      <c r="C16" s="10" t="s">
        <v>105</v>
      </c>
      <c r="D16" s="10">
        <v>3</v>
      </c>
    </row>
    <row r="17" spans="1:5" x14ac:dyDescent="0.25">
      <c r="A17" s="4">
        <f>IF(OR($C17="END", $D17="END"),$I$7,IFERROR(ROUND(VLOOKUP(C17,Notes!$A$14:$B$147,2,FALSE),0),""))</f>
        <v>330</v>
      </c>
      <c r="B17" s="4">
        <f t="shared" si="1"/>
        <v>333</v>
      </c>
      <c r="C17" s="10" t="s">
        <v>104</v>
      </c>
      <c r="D17" s="10">
        <v>3</v>
      </c>
    </row>
    <row r="18" spans="1:5" x14ac:dyDescent="0.25">
      <c r="A18" s="4">
        <f>IF(OR($C18="END", $D18="END"),$I$7,IFERROR(ROUND(VLOOKUP(C18,Notes!$A$14:$B$147,2,FALSE),0),""))</f>
        <v>294</v>
      </c>
      <c r="B18" s="4">
        <f t="shared" si="1"/>
        <v>333</v>
      </c>
      <c r="C18" s="10" t="s">
        <v>102</v>
      </c>
      <c r="D18" s="10">
        <v>3</v>
      </c>
    </row>
    <row r="19" spans="1:5" x14ac:dyDescent="0.25">
      <c r="A19" s="4">
        <f>IF(OR($C19="END", $D19="END"),$I$7,IFERROR(ROUND(VLOOKUP(C19,Notes!$A$14:$B$147,2,FALSE),0),""))</f>
        <v>247</v>
      </c>
      <c r="B19" s="4">
        <f t="shared" si="1"/>
        <v>1000</v>
      </c>
      <c r="C19" s="10" t="s">
        <v>99</v>
      </c>
      <c r="D19" s="10">
        <v>1</v>
      </c>
      <c r="E19" t="s">
        <v>161</v>
      </c>
    </row>
    <row r="20" spans="1:5" x14ac:dyDescent="0.25">
      <c r="A20" s="4">
        <f>IF(OR($C20="END", $D20="END"),$I$7,IFERROR(ROUND(VLOOKUP(C20,Notes!$A$14:$B$147,2,FALSE),0),""))</f>
        <v>392</v>
      </c>
      <c r="B20" s="4">
        <f t="shared" si="1"/>
        <v>333</v>
      </c>
      <c r="C20" s="10" t="s">
        <v>107</v>
      </c>
      <c r="D20" s="10">
        <v>3</v>
      </c>
    </row>
    <row r="21" spans="1:5" x14ac:dyDescent="0.25">
      <c r="A21" s="4">
        <f>IF(OR($C21="END", $D21="END"),$I$7,IFERROR(ROUND(VLOOKUP(C21,Notes!$A$14:$B$147,2,FALSE),0),""))</f>
        <v>392</v>
      </c>
      <c r="B21" s="4">
        <f t="shared" si="1"/>
        <v>333</v>
      </c>
      <c r="C21" s="10" t="s">
        <v>107</v>
      </c>
      <c r="D21" s="10">
        <v>3</v>
      </c>
    </row>
    <row r="22" spans="1:5" x14ac:dyDescent="0.25">
      <c r="A22" s="4">
        <f>IF(OR($C22="END", $D22="END"),$I$7,IFERROR(ROUND(VLOOKUP(C22,Notes!$A$14:$B$147,2,FALSE),0),""))</f>
        <v>349</v>
      </c>
      <c r="B22" s="4">
        <f t="shared" si="1"/>
        <v>333</v>
      </c>
      <c r="C22" s="10" t="s">
        <v>105</v>
      </c>
      <c r="D22" s="10">
        <v>3</v>
      </c>
      <c r="E22" t="s">
        <v>161</v>
      </c>
    </row>
    <row r="23" spans="1:5" x14ac:dyDescent="0.25">
      <c r="A23" s="4">
        <f>IF(OR($C23="END", $D23="END"),$I$7,IFERROR(ROUND(VLOOKUP(C23,Notes!$A$14:$B$147,2,FALSE),0),""))</f>
        <v>294</v>
      </c>
      <c r="B23" s="4">
        <f t="shared" si="1"/>
        <v>333</v>
      </c>
      <c r="C23" s="10" t="s">
        <v>102</v>
      </c>
      <c r="D23" s="10">
        <v>3</v>
      </c>
    </row>
    <row r="24" spans="1:5" x14ac:dyDescent="0.25">
      <c r="A24" s="4">
        <f>IF(OR($C24="END", $D24="END"),$I$7,IFERROR(ROUND(VLOOKUP(C24,Notes!$A$14:$B$147,2,FALSE),0),""))</f>
        <v>262</v>
      </c>
      <c r="B24" s="4">
        <f t="shared" si="1"/>
        <v>1000</v>
      </c>
      <c r="C24" s="10" t="s">
        <v>100</v>
      </c>
      <c r="D24" s="10">
        <v>1</v>
      </c>
    </row>
    <row r="25" spans="1:5" x14ac:dyDescent="0.25">
      <c r="A25" s="4">
        <f>IF(OR($C25="END", $D25="END"),$I$7,IFERROR(ROUND(VLOOKUP(C25,Notes!$A$14:$B$147,2,FALSE),0),""))</f>
        <v>196</v>
      </c>
      <c r="B25" s="4">
        <f>IF(OR(C25="END", D25="END"),$J$7,IFERROR(ROUND($I$3/D25,0),""))</f>
        <v>333</v>
      </c>
      <c r="C25" s="10" t="s">
        <v>95</v>
      </c>
      <c r="D25" s="10">
        <v>3</v>
      </c>
      <c r="E25" t="s">
        <v>161</v>
      </c>
    </row>
    <row r="26" spans="1:5" x14ac:dyDescent="0.25">
      <c r="A26" s="4">
        <f>IF(OR($C26="END", $D26="END"),$I$7,IFERROR(ROUND(VLOOKUP(C26,Notes!$A$14:$B$147,2,FALSE),0),""))</f>
        <v>196</v>
      </c>
      <c r="B26" s="4">
        <f t="shared" ref="B26:B30" si="4">IF(OR(C26="END", D26="END"),$J$7,IFERROR(ROUND($I$3/D26,0),""))</f>
        <v>333</v>
      </c>
      <c r="C26" s="10" t="s">
        <v>95</v>
      </c>
      <c r="D26" s="10">
        <v>3</v>
      </c>
    </row>
    <row r="27" spans="1:5" x14ac:dyDescent="0.25">
      <c r="A27" s="4">
        <f>IF(OR($C27="END", $D27="END"),$I$7,IFERROR(ROUND(VLOOKUP(C27,Notes!$A$14:$B$147,2,FALSE),0),""))</f>
        <v>330</v>
      </c>
      <c r="B27" s="4">
        <f t="shared" si="4"/>
        <v>333</v>
      </c>
      <c r="C27" s="10" t="s">
        <v>104</v>
      </c>
      <c r="D27" s="10">
        <v>3</v>
      </c>
    </row>
    <row r="28" spans="1:5" x14ac:dyDescent="0.25">
      <c r="A28" s="4">
        <f>IF(OR($C28="END", $D28="END"),$I$7,IFERROR(ROUND(VLOOKUP(C28,Notes!$A$14:$B$147,2,FALSE),0),""))</f>
        <v>294</v>
      </c>
      <c r="B28" s="4">
        <f t="shared" si="4"/>
        <v>333</v>
      </c>
      <c r="C28" s="10" t="s">
        <v>102</v>
      </c>
      <c r="D28" s="10">
        <v>3</v>
      </c>
    </row>
    <row r="29" spans="1:5" x14ac:dyDescent="0.25">
      <c r="A29" s="4">
        <f>IF(OR($C29="END", $D29="END"),$I$7,IFERROR(ROUND(VLOOKUP(C29,Notes!$A$14:$B$147,2,FALSE),0),""))</f>
        <v>262</v>
      </c>
      <c r="B29" s="4">
        <f t="shared" si="4"/>
        <v>333</v>
      </c>
      <c r="C29" s="10" t="s">
        <v>100</v>
      </c>
      <c r="D29" s="10">
        <v>3</v>
      </c>
    </row>
    <row r="30" spans="1:5" x14ac:dyDescent="0.25">
      <c r="A30" s="4">
        <f>IF(OR($C30="END", $D30="END"),$I$7,IFERROR(ROUND(VLOOKUP(C30,Notes!$A$14:$B$147,2,FALSE),0),""))</f>
        <v>196</v>
      </c>
      <c r="B30" s="4">
        <f t="shared" si="4"/>
        <v>1000</v>
      </c>
      <c r="C30" s="10" t="s">
        <v>95</v>
      </c>
      <c r="D30" s="10">
        <v>1</v>
      </c>
    </row>
    <row r="31" spans="1:5" x14ac:dyDescent="0.25">
      <c r="A31" s="4">
        <f>IF(OR($C31="END", $D31="END"),$I$7,IFERROR(ROUND(VLOOKUP(C31,Notes!$A$14:$B$147,2,FALSE),0),""))</f>
        <v>196</v>
      </c>
      <c r="B31" s="4">
        <f>IF(OR(C31="END", D31="END"),$J$7,IFERROR(ROUND($I$3/D31,0),""))</f>
        <v>333</v>
      </c>
      <c r="C31" s="10" t="s">
        <v>95</v>
      </c>
      <c r="D31" s="10">
        <v>3</v>
      </c>
    </row>
    <row r="32" spans="1:5" x14ac:dyDescent="0.25">
      <c r="A32" s="4">
        <f>IF(OR($C32="END", $D32="END"),$I$7,IFERROR(ROUND(VLOOKUP(C32,Notes!$A$14:$B$147,2,FALSE),0),""))</f>
        <v>196</v>
      </c>
      <c r="B32" s="4">
        <f t="shared" ref="B32:B47" si="5">IF(OR(C32="END", D32="END"),$J$7,IFERROR(ROUND($I$3/D32,0),""))</f>
        <v>333</v>
      </c>
      <c r="C32" s="10" t="s">
        <v>95</v>
      </c>
      <c r="D32" s="10">
        <v>3</v>
      </c>
    </row>
    <row r="33" spans="1:4" x14ac:dyDescent="0.25">
      <c r="A33" s="4">
        <f>IF(OR($C33="END", $D33="END"),$I$7,IFERROR(ROUND(VLOOKUP(C33,Notes!$A$14:$B$147,2,FALSE),0),""))</f>
        <v>330</v>
      </c>
      <c r="B33" s="4">
        <f t="shared" si="5"/>
        <v>333</v>
      </c>
      <c r="C33" s="10" t="s">
        <v>104</v>
      </c>
      <c r="D33" s="10">
        <v>3</v>
      </c>
    </row>
    <row r="34" spans="1:4" x14ac:dyDescent="0.25">
      <c r="A34" s="4">
        <f>IF(OR($C34="END", $D34="END"),$I$7,IFERROR(ROUND(VLOOKUP(C34,Notes!$A$14:$B$147,2,FALSE),0),""))</f>
        <v>294</v>
      </c>
      <c r="B34" s="4">
        <f t="shared" si="5"/>
        <v>333</v>
      </c>
      <c r="C34" s="10" t="s">
        <v>102</v>
      </c>
      <c r="D34" s="10">
        <v>3</v>
      </c>
    </row>
    <row r="35" spans="1:4" x14ac:dyDescent="0.25">
      <c r="A35" s="4">
        <f>IF(OR($C35="END", $D35="END"),$I$7,IFERROR(ROUND(VLOOKUP(C35,Notes!$A$14:$B$147,2,FALSE),0),""))</f>
        <v>262</v>
      </c>
      <c r="B35" s="4">
        <f t="shared" si="5"/>
        <v>333</v>
      </c>
      <c r="C35" s="10" t="s">
        <v>100</v>
      </c>
      <c r="D35" s="10">
        <v>3</v>
      </c>
    </row>
    <row r="36" spans="1:4" x14ac:dyDescent="0.25">
      <c r="A36" s="4">
        <f>IF(OR($C36="END", $D36="END"),$I$7,IFERROR(ROUND(VLOOKUP(C36,Notes!$A$14:$B$147,2,FALSE),0),""))</f>
        <v>220</v>
      </c>
      <c r="B36" s="4">
        <f t="shared" si="5"/>
        <v>1000</v>
      </c>
      <c r="C36" s="10" t="s">
        <v>97</v>
      </c>
      <c r="D36" s="10">
        <v>1</v>
      </c>
    </row>
    <row r="37" spans="1:4" x14ac:dyDescent="0.25">
      <c r="A37" s="4">
        <f>IF(OR($C37="END", $D37="END"),$I$7,IFERROR(ROUND(VLOOKUP(C37,Notes!$A$14:$B$147,2,FALSE),0),""))</f>
        <v>220</v>
      </c>
      <c r="B37" s="4">
        <f t="shared" si="5"/>
        <v>333</v>
      </c>
      <c r="C37" s="10" t="s">
        <v>97</v>
      </c>
      <c r="D37" s="10">
        <v>3</v>
      </c>
    </row>
    <row r="38" spans="1:4" x14ac:dyDescent="0.25">
      <c r="A38" s="4">
        <f>IF(OR($C38="END", $D38="END"),$I$7,IFERROR(ROUND(VLOOKUP(C38,Notes!$A$14:$B$147,2,FALSE),0),""))</f>
        <v>220</v>
      </c>
      <c r="B38" s="4">
        <f t="shared" si="5"/>
        <v>333</v>
      </c>
      <c r="C38" s="10" t="s">
        <v>97</v>
      </c>
      <c r="D38" s="10">
        <v>3</v>
      </c>
    </row>
    <row r="39" spans="1:4" x14ac:dyDescent="0.25">
      <c r="A39" s="4">
        <f>IF(OR($C39="END", $D39="END"),$I$7,IFERROR(ROUND(VLOOKUP(C39,Notes!$A$14:$B$147,2,FALSE),0),""))</f>
        <v>349</v>
      </c>
      <c r="B39" s="4">
        <f t="shared" si="5"/>
        <v>333</v>
      </c>
      <c r="C39" s="10" t="s">
        <v>105</v>
      </c>
      <c r="D39" s="10">
        <v>3</v>
      </c>
    </row>
    <row r="40" spans="1:4" x14ac:dyDescent="0.25">
      <c r="A40" s="4">
        <f>IF(OR($C40="END", $D40="END"),$I$7,IFERROR(ROUND(VLOOKUP(C40,Notes!$A$14:$B$147,2,FALSE),0),""))</f>
        <v>330</v>
      </c>
      <c r="B40" s="4">
        <f t="shared" si="5"/>
        <v>333</v>
      </c>
      <c r="C40" s="10" t="s">
        <v>104</v>
      </c>
      <c r="D40" s="10">
        <v>3</v>
      </c>
    </row>
    <row r="41" spans="1:4" x14ac:dyDescent="0.25">
      <c r="A41" s="4">
        <f>IF(OR($C41="END", $D41="END"),$I$7,IFERROR(ROUND(VLOOKUP(C41,Notes!$A$14:$B$147,2,FALSE),0),""))</f>
        <v>294</v>
      </c>
      <c r="B41" s="4">
        <f t="shared" si="5"/>
        <v>333</v>
      </c>
      <c r="C41" s="10" t="s">
        <v>102</v>
      </c>
      <c r="D41" s="10">
        <v>3</v>
      </c>
    </row>
    <row r="42" spans="1:4" x14ac:dyDescent="0.25">
      <c r="A42" s="4">
        <f>IF(OR($C42="END", $D42="END"),$I$7,IFERROR(ROUND(VLOOKUP(C42,Notes!$A$14:$B$147,2,FALSE),0),""))</f>
        <v>247</v>
      </c>
      <c r="B42" s="4">
        <f t="shared" si="5"/>
        <v>1000</v>
      </c>
      <c r="C42" s="10" t="s">
        <v>99</v>
      </c>
      <c r="D42" s="10">
        <v>1</v>
      </c>
    </row>
    <row r="43" spans="1:4" x14ac:dyDescent="0.25">
      <c r="A43" s="4">
        <f>IF(OR($C43="END", $D43="END"),$I$7,IFERROR(ROUND(VLOOKUP(C43,Notes!$A$14:$B$147,2,FALSE),0),""))</f>
        <v>392</v>
      </c>
      <c r="B43" s="4">
        <f t="shared" si="5"/>
        <v>333</v>
      </c>
      <c r="C43" s="10" t="s">
        <v>107</v>
      </c>
      <c r="D43" s="10">
        <v>3</v>
      </c>
    </row>
    <row r="44" spans="1:4" x14ac:dyDescent="0.25">
      <c r="A44" s="4">
        <f>IF(OR($C44="END", $D44="END"),$I$7,IFERROR(ROUND(VLOOKUP(C44,Notes!$A$14:$B$147,2,FALSE),0),""))</f>
        <v>392</v>
      </c>
      <c r="B44" s="4">
        <f t="shared" si="5"/>
        <v>333</v>
      </c>
      <c r="C44" s="10" t="s">
        <v>107</v>
      </c>
      <c r="D44" s="10">
        <v>3</v>
      </c>
    </row>
    <row r="45" spans="1:4" x14ac:dyDescent="0.25">
      <c r="A45" s="4">
        <f>IF(OR($C45="END", $D45="END"),$I$7,IFERROR(ROUND(VLOOKUP(C45,Notes!$A$14:$B$147,2,FALSE),0),""))</f>
        <v>392</v>
      </c>
      <c r="B45" s="4">
        <f t="shared" si="5"/>
        <v>333</v>
      </c>
      <c r="C45" s="10" t="s">
        <v>107</v>
      </c>
      <c r="D45" s="10">
        <v>3</v>
      </c>
    </row>
    <row r="46" spans="1:4" x14ac:dyDescent="0.25">
      <c r="A46" s="4">
        <f>IF(OR($C46="END", $D46="END"),$I$7,IFERROR(ROUND(VLOOKUP(C46,Notes!$A$14:$B$147,2,FALSE),0),""))</f>
        <v>392</v>
      </c>
      <c r="B46" s="4">
        <f t="shared" si="5"/>
        <v>333</v>
      </c>
      <c r="C46" s="10" t="s">
        <v>107</v>
      </c>
      <c r="D46" s="10">
        <v>3</v>
      </c>
    </row>
    <row r="47" spans="1:4" x14ac:dyDescent="0.25">
      <c r="A47" s="4">
        <f>IF(OR($C47="END", $D47="END"),$I$7,IFERROR(ROUND(VLOOKUP(C47,Notes!$A$14:$B$147,2,FALSE),0),""))</f>
        <v>440</v>
      </c>
      <c r="B47" s="4">
        <f t="shared" si="5"/>
        <v>333</v>
      </c>
      <c r="C47" s="10" t="s">
        <v>109</v>
      </c>
      <c r="D47" s="10">
        <v>3</v>
      </c>
    </row>
    <row r="48" spans="1:4" x14ac:dyDescent="0.25">
      <c r="A48" s="4">
        <f>IF(OR($C48="END", $D48="END"),$I$7,IFERROR(ROUND(VLOOKUP(C48,Notes!$A$14:$B$147,2,FALSE),0),""))</f>
        <v>392</v>
      </c>
      <c r="B48" s="4">
        <f t="shared" ref="B48:B76" si="6">IF(OR(C48="END", D48="END"),$J$7,IFERROR(ROUND($I$3/D48,0),""))</f>
        <v>333</v>
      </c>
      <c r="C48" s="10" t="s">
        <v>107</v>
      </c>
      <c r="D48" s="10">
        <v>3</v>
      </c>
    </row>
    <row r="49" spans="1:4" x14ac:dyDescent="0.25">
      <c r="A49" s="4">
        <f>IF(OR($C49="END", $D49="END"),$I$7,IFERROR(ROUND(VLOOKUP(C49,Notes!$A$14:$B$147,2,FALSE),0),""))</f>
        <v>349</v>
      </c>
      <c r="B49" s="4">
        <f t="shared" si="6"/>
        <v>333</v>
      </c>
      <c r="C49" s="10" t="s">
        <v>105</v>
      </c>
      <c r="D49" s="10">
        <v>3</v>
      </c>
    </row>
    <row r="50" spans="1:4" x14ac:dyDescent="0.25">
      <c r="A50" s="4">
        <f>IF(OR($C50="END", $D50="END"),$I$7,IFERROR(ROUND(VLOOKUP(C50,Notes!$A$14:$B$147,2,FALSE),0),""))</f>
        <v>294</v>
      </c>
      <c r="B50" s="4">
        <f t="shared" si="6"/>
        <v>333</v>
      </c>
      <c r="C50" s="10" t="s">
        <v>102</v>
      </c>
      <c r="D50" s="10">
        <v>3</v>
      </c>
    </row>
    <row r="51" spans="1:4" x14ac:dyDescent="0.25">
      <c r="A51" s="4">
        <f>IF(OR($C51="END", $D51="END"),$I$7,IFERROR(ROUND(VLOOKUP(C51,Notes!$A$14:$B$147,2,FALSE),0),""))</f>
        <v>262</v>
      </c>
      <c r="B51" s="4">
        <f t="shared" si="6"/>
        <v>500</v>
      </c>
      <c r="C51" s="10" t="s">
        <v>100</v>
      </c>
      <c r="D51" s="10">
        <v>2</v>
      </c>
    </row>
    <row r="52" spans="1:4" x14ac:dyDescent="0.25">
      <c r="A52" s="4">
        <f>IF(OR($C52="END", $D52="END"),$I$7,IFERROR(ROUND(VLOOKUP(C52,Notes!$A$14:$B$147,2,FALSE),0),""))</f>
        <v>392</v>
      </c>
      <c r="B52" s="4">
        <f t="shared" si="6"/>
        <v>500</v>
      </c>
      <c r="C52" s="10" t="s">
        <v>107</v>
      </c>
      <c r="D52" s="10">
        <v>2</v>
      </c>
    </row>
    <row r="53" spans="1:4" x14ac:dyDescent="0.25">
      <c r="A53" s="4">
        <f>IF(OR($C53="END", $D53="END"),$I$7,IFERROR(ROUND(VLOOKUP(C53,Notes!$A$14:$B$147,2,FALSE),0),""))</f>
        <v>0</v>
      </c>
      <c r="B53" s="4">
        <f t="shared" ref="B53" si="7">IF(OR(C53="END", D53="END"),$J$7,IFERROR(ROUND($I$3/D53,0),""))</f>
        <v>0</v>
      </c>
      <c r="C53" s="10" t="s">
        <v>20</v>
      </c>
    </row>
    <row r="54" spans="1:4" x14ac:dyDescent="0.25">
      <c r="A54" s="4" t="str">
        <f>IF(OR($C54="END", $D54="END"),$I$7,IFERROR(ROUND(VLOOKUP(C54,Notes!$A$14:$B$147,2,FALSE),0),""))</f>
        <v/>
      </c>
      <c r="B54" s="4" t="str">
        <f t="shared" si="6"/>
        <v/>
      </c>
    </row>
    <row r="55" spans="1:4" x14ac:dyDescent="0.25">
      <c r="A55" s="4" t="str">
        <f>IF(OR($C55="END", $D55="END"),$I$7,IFERROR(ROUND(VLOOKUP(C55,Notes!$A$14:$B$147,2,FALSE),0),""))</f>
        <v/>
      </c>
      <c r="B55" s="4" t="str">
        <f t="shared" si="6"/>
        <v/>
      </c>
    </row>
    <row r="56" spans="1:4" x14ac:dyDescent="0.25">
      <c r="A56" s="4" t="str">
        <f>IF(OR($C56="END", $D56="END"),$I$7,IFERROR(ROUND(VLOOKUP(C56,Notes!$A$14:$B$147,2,FALSE),0),""))</f>
        <v/>
      </c>
      <c r="B56" s="4" t="str">
        <f t="shared" si="6"/>
        <v/>
      </c>
    </row>
    <row r="57" spans="1:4" x14ac:dyDescent="0.25">
      <c r="A57" s="4" t="str">
        <f>IF(OR($C57="END", $D57="END"),$I$7,IFERROR(ROUND(VLOOKUP(C57,Notes!$A$14:$B$147,2,FALSE),0),""))</f>
        <v/>
      </c>
      <c r="B57" s="4" t="str">
        <f t="shared" si="6"/>
        <v/>
      </c>
    </row>
    <row r="58" spans="1:4" x14ac:dyDescent="0.25">
      <c r="A58" s="4" t="str">
        <f>IF(OR($C58="END", $D58="END"),$I$7,IFERROR(ROUND(VLOOKUP(C58,Notes!$A$14:$B$147,2,FALSE),0),""))</f>
        <v/>
      </c>
      <c r="B58" s="4" t="str">
        <f t="shared" si="6"/>
        <v/>
      </c>
    </row>
    <row r="59" spans="1:4" x14ac:dyDescent="0.25">
      <c r="A59" s="4" t="str">
        <f>IF(OR($C59="END", $D59="END"),$I$7,IFERROR(ROUND(VLOOKUP(C59,Notes!$A$14:$B$147,2,FALSE),0),""))</f>
        <v/>
      </c>
      <c r="B59" s="4" t="str">
        <f t="shared" si="6"/>
        <v/>
      </c>
    </row>
    <row r="60" spans="1:4" x14ac:dyDescent="0.25">
      <c r="A60" s="4" t="str">
        <f>IF(OR($C60="END", $D60="END"),$I$7,IFERROR(ROUND(VLOOKUP(C60,Notes!$A$14:$B$147,2,FALSE),0),""))</f>
        <v/>
      </c>
      <c r="B60" s="4" t="str">
        <f t="shared" si="6"/>
        <v/>
      </c>
    </row>
    <row r="61" spans="1:4" x14ac:dyDescent="0.25">
      <c r="A61" s="4" t="str">
        <f>IF(OR($C61="END", $D61="END"),$I$7,IFERROR(ROUND(VLOOKUP(C61,Notes!$A$14:$B$147,2,FALSE),0),""))</f>
        <v/>
      </c>
      <c r="B61" s="4" t="str">
        <f t="shared" si="6"/>
        <v/>
      </c>
    </row>
    <row r="62" spans="1:4" x14ac:dyDescent="0.25">
      <c r="A62" s="4" t="str">
        <f>IF(OR($C62="END", $D62="END"),$I$7,IFERROR(ROUND(VLOOKUP(C62,Notes!$A$14:$B$147,2,FALSE),0),""))</f>
        <v/>
      </c>
      <c r="B62" s="4" t="str">
        <f t="shared" si="6"/>
        <v/>
      </c>
    </row>
    <row r="63" spans="1:4" x14ac:dyDescent="0.25">
      <c r="A63" s="4" t="str">
        <f>IF(OR($C63="END", $D63="END"),$I$7,IFERROR(ROUND(VLOOKUP(C63,Notes!$A$14:$B$147,2,FALSE),0),""))</f>
        <v/>
      </c>
      <c r="B63" s="4" t="str">
        <f t="shared" si="6"/>
        <v/>
      </c>
    </row>
    <row r="64" spans="1:4" x14ac:dyDescent="0.25">
      <c r="A64" s="4" t="str">
        <f>IF(OR($C64="END", $D64="END"),$I$7,IFERROR(ROUND(VLOOKUP(C64,Notes!$A$14:$B$147,2,FALSE),0),""))</f>
        <v/>
      </c>
      <c r="B64" s="4" t="str">
        <f t="shared" si="6"/>
        <v/>
      </c>
    </row>
    <row r="65" spans="1:3" x14ac:dyDescent="0.25">
      <c r="A65" s="4" t="str">
        <f>IF(OR($C65="END", $D65="END"),$I$7,IFERROR(ROUND(VLOOKUP(C65,Notes!$A$14:$B$147,2,FALSE),0),""))</f>
        <v/>
      </c>
      <c r="B65" s="4" t="str">
        <f t="shared" si="6"/>
        <v/>
      </c>
    </row>
    <row r="66" spans="1:3" x14ac:dyDescent="0.25">
      <c r="A66" s="4" t="str">
        <f>IF(OR($C66="END", $D66="END"),$I$7,IFERROR(ROUND(VLOOKUP(C66,Notes!$A$14:$B$147,2,FALSE),0),""))</f>
        <v/>
      </c>
      <c r="B66" s="4" t="str">
        <f t="shared" si="6"/>
        <v/>
      </c>
    </row>
    <row r="67" spans="1:3" x14ac:dyDescent="0.25">
      <c r="A67" s="4" t="str">
        <f>IF(OR($C67="END", $D67="END"),$I$7,IFERROR(ROUND(VLOOKUP(C67,Notes!$A$14:$B$147,2,FALSE),0),""))</f>
        <v/>
      </c>
      <c r="B67" s="4" t="str">
        <f t="shared" si="6"/>
        <v/>
      </c>
    </row>
    <row r="68" spans="1:3" x14ac:dyDescent="0.25">
      <c r="A68" s="4" t="str">
        <f>IF(OR($C68="END", $D68="END"),$I$7,IFERROR(ROUND(VLOOKUP(C68,Notes!$A$14:$B$147,2,FALSE),0),""))</f>
        <v/>
      </c>
      <c r="B68" s="4" t="str">
        <f t="shared" si="6"/>
        <v/>
      </c>
    </row>
    <row r="69" spans="1:3" x14ac:dyDescent="0.25">
      <c r="A69" s="4" t="str">
        <f>IF(OR($C69="END", $D69="END"),$I$7,IFERROR(ROUND(VLOOKUP(C69,Notes!$A$14:$B$147,2,FALSE),0),""))</f>
        <v/>
      </c>
      <c r="B69" s="4" t="str">
        <f t="shared" si="6"/>
        <v/>
      </c>
    </row>
    <row r="70" spans="1:3" x14ac:dyDescent="0.25">
      <c r="A70" s="4" t="str">
        <f>IF(OR($C70="END", $D70="END"),$I$7,IFERROR(ROUND(VLOOKUP(C70,Notes!$A$14:$B$147,2,FALSE),0),""))</f>
        <v/>
      </c>
      <c r="B70" s="4" t="str">
        <f t="shared" si="6"/>
        <v/>
      </c>
    </row>
    <row r="71" spans="1:3" x14ac:dyDescent="0.25">
      <c r="A71" s="4" t="str">
        <f>IF(OR($C71="END", $D71="END"),$I$7,IFERROR(ROUND(VLOOKUP(C71,Notes!$A$14:$B$147,2,FALSE),0),""))</f>
        <v/>
      </c>
      <c r="B71" s="4" t="str">
        <f t="shared" si="6"/>
        <v/>
      </c>
    </row>
    <row r="72" spans="1:3" x14ac:dyDescent="0.25">
      <c r="A72" s="4" t="str">
        <f>IF(OR($C72="END", $D72="END"),$I$7,IFERROR(ROUND(VLOOKUP(C72,Notes!$A$14:$B$147,2,FALSE),0),""))</f>
        <v/>
      </c>
      <c r="B72" s="4" t="str">
        <f t="shared" si="6"/>
        <v/>
      </c>
    </row>
    <row r="73" spans="1:3" x14ac:dyDescent="0.25">
      <c r="A73" s="4" t="str">
        <f>IF(OR($C73="END", $D73="END"),$I$7,IFERROR(ROUND(VLOOKUP(C73,Notes!$A$14:$B$147,2,FALSE),0),""))</f>
        <v/>
      </c>
      <c r="B73" s="4" t="str">
        <f t="shared" si="6"/>
        <v/>
      </c>
    </row>
    <row r="74" spans="1:3" x14ac:dyDescent="0.25">
      <c r="A74" s="4" t="str">
        <f>IF(OR($C74="END", $D74="END"),$I$7,IFERROR(ROUND(VLOOKUP(C74,Notes!$A$14:$B$147,2,FALSE),0),""))</f>
        <v/>
      </c>
      <c r="B74" s="4" t="str">
        <f t="shared" si="6"/>
        <v/>
      </c>
    </row>
    <row r="75" spans="1:3" x14ac:dyDescent="0.25">
      <c r="A75" s="4" t="str">
        <f>IF(OR($C75="END", $D75="END"),$I$7,IFERROR(ROUND(VLOOKUP(C75,Notes!$A$14:$B$147,2,FALSE),0),""))</f>
        <v/>
      </c>
      <c r="B75" s="4" t="str">
        <f t="shared" si="6"/>
        <v/>
      </c>
    </row>
    <row r="76" spans="1:3" x14ac:dyDescent="0.25">
      <c r="A76" s="4" t="str">
        <f>IF(OR($C76="END", $D76="END"),$I$7,IFERROR(ROUND(VLOOKUP(C76,Notes!$A$14:$B$147,2,FALSE),0),""))</f>
        <v/>
      </c>
      <c r="B76" s="4" t="str">
        <f t="shared" si="6"/>
        <v/>
      </c>
    </row>
    <row r="77" spans="1:3" x14ac:dyDescent="0.25">
      <c r="A77" s="4">
        <f>IF(OR($C77="END", $D77="END"),$I$7,IFERROR(ROUND(VLOOKUP(C77,Notes!$A$14:$B$147,2,FALSE),0),""))</f>
        <v>0</v>
      </c>
      <c r="B77" s="4">
        <f>IF(OR(C77="END", D77="END"),$J$7,IFERROR(ROUND($I$3/D77,0),""))</f>
        <v>0</v>
      </c>
      <c r="C77" s="10" t="s">
        <v>20</v>
      </c>
    </row>
    <row r="78" spans="1:3" x14ac:dyDescent="0.25">
      <c r="A78" s="4" t="str">
        <f>IF(OR($C78="END", $D78="END"),$I$7,IFERROR(ROUND(VLOOKUP(C78,Notes!$A$14:$B$147,2,FALSE),0),""))</f>
        <v/>
      </c>
      <c r="B78" s="4" t="str">
        <f t="shared" ref="B78:B130" si="8">IF(OR(C78="END", D78="END"),$J$7,IFERROR(ROUND($I$3/D78,0),""))</f>
        <v/>
      </c>
    </row>
    <row r="79" spans="1:3" x14ac:dyDescent="0.25">
      <c r="A79" s="4" t="str">
        <f>IF(OR($C79="END", $D79="END"),$I$7,IFERROR(ROUND(VLOOKUP(C79,Notes!$A$14:$B$147,2,FALSE),0),""))</f>
        <v/>
      </c>
      <c r="B79" s="4" t="str">
        <f t="shared" si="8"/>
        <v/>
      </c>
    </row>
    <row r="80" spans="1:3" x14ac:dyDescent="0.25">
      <c r="A80" s="4" t="str">
        <f>IF(OR($C80="END", $D80="END"),$I$7,IFERROR(ROUND(VLOOKUP(C80,Notes!$A$14:$B$147,2,FALSE),0),""))</f>
        <v/>
      </c>
      <c r="B80" s="4" t="str">
        <f t="shared" si="8"/>
        <v/>
      </c>
    </row>
    <row r="81" spans="1:2" x14ac:dyDescent="0.25">
      <c r="A81" s="4" t="str">
        <f>IF(OR($C81="END", $D81="END"),$I$7,IFERROR(ROUND(VLOOKUP(C81,Notes!$A$14:$B$147,2,FALSE),0),""))</f>
        <v/>
      </c>
      <c r="B81" s="4" t="str">
        <f t="shared" si="8"/>
        <v/>
      </c>
    </row>
    <row r="82" spans="1:2" x14ac:dyDescent="0.25">
      <c r="A82" s="4" t="str">
        <f>IF(OR($C82="END", $D82="END"),$I$7,IFERROR(ROUND(VLOOKUP(C82,Notes!$A$14:$B$147,2,FALSE),0),""))</f>
        <v/>
      </c>
      <c r="B82" s="4" t="str">
        <f t="shared" si="8"/>
        <v/>
      </c>
    </row>
    <row r="83" spans="1:2" x14ac:dyDescent="0.25">
      <c r="A83" s="4" t="str">
        <f>IF(OR($C83="END", $D83="END"),$I$7,IFERROR(ROUND(VLOOKUP(C83,Notes!$A$14:$B$147,2,FALSE),0),""))</f>
        <v/>
      </c>
      <c r="B83" s="4" t="str">
        <f t="shared" si="8"/>
        <v/>
      </c>
    </row>
    <row r="84" spans="1:2" x14ac:dyDescent="0.25">
      <c r="A84" s="4" t="str">
        <f>IF(OR($C84="END", $D84="END"),$I$7,IFERROR(ROUND(VLOOKUP(C84,Notes!$A$14:$B$147,2,FALSE),0),""))</f>
        <v/>
      </c>
      <c r="B84" s="4" t="str">
        <f t="shared" si="8"/>
        <v/>
      </c>
    </row>
    <row r="85" spans="1:2" x14ac:dyDescent="0.25">
      <c r="A85" s="4" t="str">
        <f>IF(OR($C85="END", $D85="END"),$I$7,IFERROR(ROUND(VLOOKUP(C85,Notes!$A$14:$B$147,2,FALSE),0),""))</f>
        <v/>
      </c>
      <c r="B85" s="4" t="str">
        <f t="shared" si="8"/>
        <v/>
      </c>
    </row>
    <row r="86" spans="1:2" x14ac:dyDescent="0.25">
      <c r="A86" s="4" t="str">
        <f>IF(OR($C86="END", $D86="END"),$I$7,IFERROR(ROUND(VLOOKUP(C86,Notes!$A$14:$B$147,2,FALSE),0),""))</f>
        <v/>
      </c>
      <c r="B86" s="4" t="str">
        <f t="shared" si="8"/>
        <v/>
      </c>
    </row>
    <row r="87" spans="1:2" x14ac:dyDescent="0.25">
      <c r="A87" s="4" t="str">
        <f>IF(OR($C87="END", $D87="END"),$I$7,IFERROR(ROUND(VLOOKUP(C87,Notes!$A$14:$B$147,2,FALSE),0),""))</f>
        <v/>
      </c>
      <c r="B87" s="4" t="str">
        <f t="shared" si="8"/>
        <v/>
      </c>
    </row>
    <row r="88" spans="1:2" x14ac:dyDescent="0.25">
      <c r="A88" s="4" t="str">
        <f>IF(OR($C88="END", $D88="END"),$I$7,IFERROR(ROUND(VLOOKUP(C88,Notes!$A$14:$B$147,2,FALSE),0),""))</f>
        <v/>
      </c>
      <c r="B88" s="4" t="str">
        <f t="shared" si="8"/>
        <v/>
      </c>
    </row>
    <row r="89" spans="1:2" x14ac:dyDescent="0.25">
      <c r="A89" s="4" t="str">
        <f>IF(OR($C89="END", $D89="END"),$I$7,IFERROR(ROUND(VLOOKUP(C89,Notes!$A$14:$B$147,2,FALSE),0),""))</f>
        <v/>
      </c>
      <c r="B89" s="4" t="str">
        <f t="shared" si="8"/>
        <v/>
      </c>
    </row>
    <row r="90" spans="1:2" x14ac:dyDescent="0.25">
      <c r="A90" s="4" t="str">
        <f>IF(OR($C90="END", $D90="END"),$I$7,IFERROR(ROUND(VLOOKUP(C90,Notes!$A$14:$B$147,2,FALSE),0),""))</f>
        <v/>
      </c>
      <c r="B90" s="4" t="str">
        <f t="shared" si="8"/>
        <v/>
      </c>
    </row>
    <row r="91" spans="1:2" x14ac:dyDescent="0.25">
      <c r="A91" s="4" t="str">
        <f>IF(OR($C91="END", $D91="END"),$I$7,IFERROR(ROUND(VLOOKUP(C91,Notes!$A$14:$B$147,2,FALSE),0),""))</f>
        <v/>
      </c>
      <c r="B91" s="4" t="str">
        <f t="shared" si="8"/>
        <v/>
      </c>
    </row>
    <row r="92" spans="1:2" x14ac:dyDescent="0.25">
      <c r="A92" s="4" t="str">
        <f>IF(OR($C92="END", $D92="END"),$I$7,IFERROR(ROUND(VLOOKUP(C92,Notes!$A$14:$B$147,2,FALSE),0),""))</f>
        <v/>
      </c>
      <c r="B92" s="4" t="str">
        <f t="shared" si="8"/>
        <v/>
      </c>
    </row>
    <row r="93" spans="1:2" x14ac:dyDescent="0.25">
      <c r="A93" s="4" t="str">
        <f>IF(OR($C93="END", $D93="END"),$I$7,IFERROR(ROUND(VLOOKUP(C93,Notes!$A$14:$B$147,2,FALSE),0),""))</f>
        <v/>
      </c>
      <c r="B93" s="4" t="str">
        <f t="shared" si="8"/>
        <v/>
      </c>
    </row>
    <row r="94" spans="1:2" x14ac:dyDescent="0.25">
      <c r="A94" s="4" t="str">
        <f>IF(OR($C94="END", $D94="END"),$I$7,IFERROR(ROUND(VLOOKUP(C94,Notes!$A$14:$B$147,2,FALSE),0),""))</f>
        <v/>
      </c>
      <c r="B94" s="4" t="str">
        <f t="shared" si="8"/>
        <v/>
      </c>
    </row>
    <row r="95" spans="1:2" x14ac:dyDescent="0.25">
      <c r="A95" s="4" t="str">
        <f>IF(OR($C95="END", $D95="END"),$I$7,IFERROR(ROUND(VLOOKUP(C95,Notes!$A$14:$B$147,2,FALSE),0),""))</f>
        <v/>
      </c>
      <c r="B95" s="4" t="str">
        <f t="shared" si="8"/>
        <v/>
      </c>
    </row>
    <row r="96" spans="1:2" x14ac:dyDescent="0.25">
      <c r="A96" s="4" t="str">
        <f>IF(OR($C96="END", $D96="END"),$I$7,IFERROR(ROUND(VLOOKUP(C96,Notes!$A$14:$B$147,2,FALSE),0),""))</f>
        <v/>
      </c>
      <c r="B96" s="4" t="str">
        <f t="shared" si="8"/>
        <v/>
      </c>
    </row>
    <row r="97" spans="1:2" x14ac:dyDescent="0.25">
      <c r="A97" s="4" t="str">
        <f>IF(OR($C97="END", $D97="END"),$I$7,IFERROR(ROUND(VLOOKUP(C97,Notes!$A$14:$B$147,2,FALSE),0),""))</f>
        <v/>
      </c>
      <c r="B97" s="4" t="str">
        <f t="shared" si="8"/>
        <v/>
      </c>
    </row>
    <row r="98" spans="1:2" x14ac:dyDescent="0.25">
      <c r="A98" s="4" t="str">
        <f>IF(OR($C98="END", $D98="END"),$I$7,IFERROR(ROUND(VLOOKUP(C98,Notes!$A$14:$B$147,2,FALSE),0),""))</f>
        <v/>
      </c>
      <c r="B98" s="4" t="str">
        <f t="shared" si="8"/>
        <v/>
      </c>
    </row>
    <row r="99" spans="1:2" x14ac:dyDescent="0.25">
      <c r="A99" s="4" t="str">
        <f>IF(OR($C99="END", $D99="END"),$I$7,IFERROR(ROUND(VLOOKUP(C99,Notes!$A$14:$B$147,2,FALSE),0),""))</f>
        <v/>
      </c>
      <c r="B99" s="4" t="str">
        <f t="shared" si="8"/>
        <v/>
      </c>
    </row>
    <row r="100" spans="1:2" x14ac:dyDescent="0.25">
      <c r="A100" s="4" t="str">
        <f>IF(OR($C100="END", $D100="END"),$I$7,IFERROR(ROUND(VLOOKUP(C100,Notes!$A$14:$B$147,2,FALSE),0),""))</f>
        <v/>
      </c>
      <c r="B100" s="4" t="str">
        <f t="shared" si="8"/>
        <v/>
      </c>
    </row>
    <row r="101" spans="1:2" x14ac:dyDescent="0.25">
      <c r="A101" s="4" t="str">
        <f>IF(OR($C101="END", $D101="END"),$I$7,IFERROR(ROUND(VLOOKUP(C101,Notes!$A$14:$B$147,2,FALSE),0),""))</f>
        <v/>
      </c>
      <c r="B101" s="4" t="str">
        <f t="shared" si="8"/>
        <v/>
      </c>
    </row>
    <row r="102" spans="1:2" x14ac:dyDescent="0.25">
      <c r="A102" s="4" t="str">
        <f>IF(OR($C102="END", $D102="END"),$I$7,IFERROR(ROUND(VLOOKUP(C102,Notes!$A$14:$B$147,2,FALSE),0),""))</f>
        <v/>
      </c>
      <c r="B102" s="4" t="str">
        <f t="shared" si="8"/>
        <v/>
      </c>
    </row>
    <row r="103" spans="1:2" x14ac:dyDescent="0.25">
      <c r="A103" s="4" t="str">
        <f>IF(OR($C103="END", $D103="END"),$I$7,IFERROR(ROUND(VLOOKUP(C103,Notes!$A$14:$B$147,2,FALSE),0),""))</f>
        <v/>
      </c>
      <c r="B103" s="4" t="str">
        <f t="shared" si="8"/>
        <v/>
      </c>
    </row>
    <row r="104" spans="1:2" x14ac:dyDescent="0.25">
      <c r="A104" s="4" t="str">
        <f>IF(OR($C104="END", $D104="END"),$I$7,IFERROR(ROUND(VLOOKUP(C104,Notes!$A$14:$B$147,2,FALSE),0),""))</f>
        <v/>
      </c>
      <c r="B104" s="4" t="str">
        <f t="shared" si="8"/>
        <v/>
      </c>
    </row>
    <row r="105" spans="1:2" x14ac:dyDescent="0.25">
      <c r="A105" s="4" t="str">
        <f>IF(OR($C105="END", $D105="END"),$I$7,IFERROR(ROUND(VLOOKUP(C105,Notes!$A$14:$B$147,2,FALSE),0),""))</f>
        <v/>
      </c>
      <c r="B105" s="4" t="str">
        <f t="shared" si="8"/>
        <v/>
      </c>
    </row>
    <row r="106" spans="1:2" x14ac:dyDescent="0.25">
      <c r="A106" s="4" t="str">
        <f>IF(OR($C106="END", $D106="END"),$I$7,IFERROR(ROUND(VLOOKUP(C106,Notes!$A$14:$B$147,2,FALSE),0),""))</f>
        <v/>
      </c>
      <c r="B106" s="4" t="str">
        <f t="shared" si="8"/>
        <v/>
      </c>
    </row>
    <row r="107" spans="1:2" x14ac:dyDescent="0.25">
      <c r="A107" s="4" t="str">
        <f>IF(OR($C107="END", $D107="END"),$I$7,IFERROR(ROUND(VLOOKUP(C107,Notes!$A$14:$B$147,2,FALSE),0),""))</f>
        <v/>
      </c>
      <c r="B107" s="4" t="str">
        <f t="shared" si="8"/>
        <v/>
      </c>
    </row>
    <row r="108" spans="1:2" x14ac:dyDescent="0.25">
      <c r="A108" s="4" t="str">
        <f>IF(OR($C108="END", $D108="END"),$I$7,IFERROR(ROUND(VLOOKUP(C108,Notes!$A$14:$B$147,2,FALSE),0),""))</f>
        <v/>
      </c>
      <c r="B108" s="4" t="str">
        <f t="shared" si="8"/>
        <v/>
      </c>
    </row>
    <row r="109" spans="1:2" x14ac:dyDescent="0.25">
      <c r="A109" s="4" t="str">
        <f>IF(OR($C109="END", $D109="END"),$I$7,IFERROR(ROUND(VLOOKUP(C109,Notes!$A$14:$B$147,2,FALSE),0),""))</f>
        <v/>
      </c>
      <c r="B109" s="4" t="str">
        <f t="shared" si="8"/>
        <v/>
      </c>
    </row>
    <row r="110" spans="1:2" x14ac:dyDescent="0.25">
      <c r="A110" s="4" t="str">
        <f>IF(OR($C110="END", $D110="END"),$I$7,IFERROR(ROUND(VLOOKUP(C110,Notes!$A$14:$B$147,2,FALSE),0),""))</f>
        <v/>
      </c>
      <c r="B110" s="4" t="str">
        <f t="shared" si="8"/>
        <v/>
      </c>
    </row>
    <row r="111" spans="1:2" x14ac:dyDescent="0.25">
      <c r="A111" s="4" t="str">
        <f>IF(OR($C111="END", $D111="END"),$I$7,IFERROR(ROUND(VLOOKUP(C111,Notes!$A$14:$B$147,2,FALSE),0),""))</f>
        <v/>
      </c>
      <c r="B111" s="4" t="str">
        <f t="shared" si="8"/>
        <v/>
      </c>
    </row>
    <row r="112" spans="1:2" x14ac:dyDescent="0.25">
      <c r="A112" s="4" t="str">
        <f>IF(OR($C112="END", $D112="END"),$I$7,IFERROR(ROUND(VLOOKUP(C112,Notes!$A$14:$B$147,2,FALSE),0),""))</f>
        <v/>
      </c>
      <c r="B112" s="4" t="str">
        <f t="shared" si="8"/>
        <v/>
      </c>
    </row>
    <row r="113" spans="1:2" x14ac:dyDescent="0.25">
      <c r="A113" s="4" t="str">
        <f>IF(OR($C113="END", $D113="END"),$I$7,IFERROR(ROUND(VLOOKUP(C113,Notes!$A$14:$B$147,2,FALSE),0),""))</f>
        <v/>
      </c>
      <c r="B113" s="4" t="str">
        <f t="shared" si="8"/>
        <v/>
      </c>
    </row>
    <row r="114" spans="1:2" x14ac:dyDescent="0.25">
      <c r="A114" s="4" t="str">
        <f>IF(OR($C114="END", $D114="END"),$I$7,IFERROR(ROUND(VLOOKUP(C114,Notes!$A$14:$B$147,2,FALSE),0),""))</f>
        <v/>
      </c>
      <c r="B114" s="4" t="str">
        <f t="shared" si="8"/>
        <v/>
      </c>
    </row>
    <row r="115" spans="1:2" x14ac:dyDescent="0.25">
      <c r="A115" s="4" t="str">
        <f>IF(OR($C115="END", $D115="END"),$I$7,IFERROR(ROUND(VLOOKUP(C115,Notes!$A$14:$B$147,2,FALSE),0),""))</f>
        <v/>
      </c>
      <c r="B115" s="4" t="str">
        <f t="shared" si="8"/>
        <v/>
      </c>
    </row>
    <row r="116" spans="1:2" x14ac:dyDescent="0.25">
      <c r="A116" s="4" t="str">
        <f>IF(OR($C116="END", $D116="END"),$I$7,IFERROR(ROUND(VLOOKUP(C116,Notes!$A$14:$B$147,2,FALSE),0),""))</f>
        <v/>
      </c>
      <c r="B116" s="4" t="str">
        <f t="shared" si="8"/>
        <v/>
      </c>
    </row>
    <row r="117" spans="1:2" x14ac:dyDescent="0.25">
      <c r="A117" s="4" t="str">
        <f>IF(OR($C117="END", $D117="END"),$I$7,IFERROR(ROUND(VLOOKUP(C117,Notes!$A$14:$B$147,2,FALSE),0),""))</f>
        <v/>
      </c>
      <c r="B117" s="4" t="str">
        <f t="shared" si="8"/>
        <v/>
      </c>
    </row>
    <row r="118" spans="1:2" x14ac:dyDescent="0.25">
      <c r="A118" s="4" t="str">
        <f>IF(OR($C118="END", $D118="END"),$I$7,IFERROR(ROUND(VLOOKUP(C118,Notes!$A$14:$B$147,2,FALSE),0),""))</f>
        <v/>
      </c>
      <c r="B118" s="4" t="str">
        <f t="shared" si="8"/>
        <v/>
      </c>
    </row>
    <row r="119" spans="1:2" x14ac:dyDescent="0.25">
      <c r="A119" s="4" t="str">
        <f>IF(OR($C119="END", $D119="END"),$I$7,IFERROR(ROUND(VLOOKUP(C119,Notes!$A$14:$B$147,2,FALSE),0),""))</f>
        <v/>
      </c>
      <c r="B119" s="4" t="str">
        <f t="shared" si="8"/>
        <v/>
      </c>
    </row>
    <row r="120" spans="1:2" x14ac:dyDescent="0.25">
      <c r="A120" s="4" t="str">
        <f>IF(OR($C120="END", $D120="END"),$I$7,IFERROR(ROUND(VLOOKUP(C120,Notes!$A$14:$B$147,2,FALSE),0),""))</f>
        <v/>
      </c>
      <c r="B120" s="4" t="str">
        <f t="shared" si="8"/>
        <v/>
      </c>
    </row>
    <row r="121" spans="1:2" x14ac:dyDescent="0.25">
      <c r="A121" s="4" t="str">
        <f>IF(OR($C121="END", $D121="END"),$I$7,IFERROR(ROUND(VLOOKUP(C121,Notes!$A$14:$B$147,2,FALSE),0),""))</f>
        <v/>
      </c>
      <c r="B121" s="4" t="str">
        <f t="shared" si="8"/>
        <v/>
      </c>
    </row>
    <row r="122" spans="1:2" x14ac:dyDescent="0.25">
      <c r="A122" s="4" t="str">
        <f>IF(OR($C122="END", $D122="END"),$I$7,IFERROR(ROUND(VLOOKUP(C122,Notes!$A$14:$B$147,2,FALSE),0),""))</f>
        <v/>
      </c>
      <c r="B122" s="4" t="str">
        <f t="shared" si="8"/>
        <v/>
      </c>
    </row>
    <row r="123" spans="1:2" x14ac:dyDescent="0.25">
      <c r="A123" s="4" t="str">
        <f>IF(OR($C123="END", $D123="END"),$I$7,IFERROR(ROUND(VLOOKUP(C123,Notes!$A$14:$B$147,2,FALSE),0),""))</f>
        <v/>
      </c>
      <c r="B123" s="4" t="str">
        <f t="shared" si="8"/>
        <v/>
      </c>
    </row>
    <row r="124" spans="1:2" x14ac:dyDescent="0.25">
      <c r="A124" s="4" t="str">
        <f>IF(OR($C124="END", $D124="END"),$I$7,IFERROR(ROUND(VLOOKUP(C124,Notes!$A$14:$B$147,2,FALSE),0),""))</f>
        <v/>
      </c>
      <c r="B124" s="4" t="str">
        <f t="shared" si="8"/>
        <v/>
      </c>
    </row>
    <row r="125" spans="1:2" x14ac:dyDescent="0.25">
      <c r="A125" s="4" t="str">
        <f>IF(OR($C125="END", $D125="END"),$I$7,IFERROR(ROUND(VLOOKUP(C125,Notes!$A$14:$B$147,2,FALSE),0),""))</f>
        <v/>
      </c>
      <c r="B125" s="4" t="str">
        <f t="shared" si="8"/>
        <v/>
      </c>
    </row>
    <row r="126" spans="1:2" x14ac:dyDescent="0.25">
      <c r="A126" s="4" t="str">
        <f>IF(OR($C126="END", $D126="END"),$I$7,IFERROR(ROUND(VLOOKUP(C126,Notes!$A$14:$B$147,2,FALSE),0),""))</f>
        <v/>
      </c>
      <c r="B126" s="4" t="str">
        <f t="shared" si="8"/>
        <v/>
      </c>
    </row>
    <row r="127" spans="1:2" x14ac:dyDescent="0.25">
      <c r="A127" s="4" t="str">
        <f>IF(OR($C127="END", $D127="END"),$I$7,IFERROR(ROUND(VLOOKUP(C127,Notes!$A$14:$B$147,2,FALSE),0),""))</f>
        <v/>
      </c>
      <c r="B127" s="4" t="str">
        <f t="shared" si="8"/>
        <v/>
      </c>
    </row>
    <row r="128" spans="1:2" x14ac:dyDescent="0.25">
      <c r="A128" s="4" t="str">
        <f>IF(OR($C128="END", $D128="END"),$I$7,IFERROR(ROUND(VLOOKUP(C128,Notes!$A$14:$B$147,2,FALSE),0),""))</f>
        <v/>
      </c>
      <c r="B128" s="4" t="str">
        <f t="shared" si="8"/>
        <v/>
      </c>
    </row>
    <row r="129" spans="1:2" x14ac:dyDescent="0.25">
      <c r="A129" s="4" t="str">
        <f>IF(OR($C129="END", $D129="END"),$I$7,IFERROR(ROUND(VLOOKUP(C129,Notes!$A$14:$B$147,2,FALSE),0),""))</f>
        <v/>
      </c>
      <c r="B129" s="4" t="str">
        <f t="shared" si="8"/>
        <v/>
      </c>
    </row>
    <row r="130" spans="1:2" x14ac:dyDescent="0.25">
      <c r="A130" s="4" t="str">
        <f>IF(OR($C130="END", $D130="END"),$I$7,IFERROR(ROUND(VLOOKUP(C130,Notes!$A$14:$B$147,2,FALSE),0),""))</f>
        <v/>
      </c>
      <c r="B130" s="4" t="str">
        <f t="shared" si="8"/>
        <v/>
      </c>
    </row>
    <row r="131" spans="1:2" x14ac:dyDescent="0.25">
      <c r="A131" s="4" t="str">
        <f>IF(OR($C131="END", $D131="END"),$I$7,IFERROR(ROUND(VLOOKUP(C131,Notes!$A$14:$B$147,2,FALSE),0),""))</f>
        <v/>
      </c>
      <c r="B131" s="4" t="str">
        <f t="shared" ref="B131:B194" si="9">IF(OR(C131="END", D131="END"),$J$7,IFERROR(ROUND($I$3/D131,0),""))</f>
        <v/>
      </c>
    </row>
    <row r="132" spans="1:2" x14ac:dyDescent="0.25">
      <c r="A132" s="4" t="str">
        <f>IF(OR($C132="END", $D132="END"),$I$7,IFERROR(ROUND(VLOOKUP(C132,Notes!$A$14:$B$147,2,FALSE),0),""))</f>
        <v/>
      </c>
      <c r="B132" s="4" t="str">
        <f t="shared" si="9"/>
        <v/>
      </c>
    </row>
    <row r="133" spans="1:2" x14ac:dyDescent="0.25">
      <c r="A133" s="4" t="str">
        <f>IF(OR($C133="END", $D133="END"),$I$7,IFERROR(ROUND(VLOOKUP(C133,Notes!$A$14:$B$147,2,FALSE),0),""))</f>
        <v/>
      </c>
      <c r="B133" s="4" t="str">
        <f t="shared" si="9"/>
        <v/>
      </c>
    </row>
    <row r="134" spans="1:2" x14ac:dyDescent="0.25">
      <c r="A134" s="4" t="str">
        <f>IF(OR($C134="END", $D134="END"),$I$7,IFERROR(ROUND(VLOOKUP(C134,Notes!$A$14:$B$147,2,FALSE),0),""))</f>
        <v/>
      </c>
      <c r="B134" s="4" t="str">
        <f t="shared" si="9"/>
        <v/>
      </c>
    </row>
    <row r="135" spans="1:2" x14ac:dyDescent="0.25">
      <c r="A135" s="4" t="str">
        <f>IF(OR($C135="END", $D135="END"),$I$7,IFERROR(ROUND(VLOOKUP(C135,Notes!$A$14:$B$147,2,FALSE),0),""))</f>
        <v/>
      </c>
      <c r="B135" s="4" t="str">
        <f t="shared" si="9"/>
        <v/>
      </c>
    </row>
    <row r="136" spans="1:2" x14ac:dyDescent="0.25">
      <c r="A136" s="4" t="str">
        <f>IF(OR($C136="END", $D136="END"),$I$7,IFERROR(ROUND(VLOOKUP(C136,Notes!$A$14:$B$147,2,FALSE),0),""))</f>
        <v/>
      </c>
      <c r="B136" s="4" t="str">
        <f t="shared" si="9"/>
        <v/>
      </c>
    </row>
    <row r="137" spans="1:2" x14ac:dyDescent="0.25">
      <c r="A137" s="4" t="str">
        <f>IF(OR($C137="END", $D137="END"),$I$7,IFERROR(ROUND(VLOOKUP(C137,Notes!$A$14:$B$147,2,FALSE),0),""))</f>
        <v/>
      </c>
      <c r="B137" s="4" t="str">
        <f t="shared" si="9"/>
        <v/>
      </c>
    </row>
    <row r="138" spans="1:2" x14ac:dyDescent="0.25">
      <c r="A138" s="4" t="str">
        <f>IF(OR($C138="END", $D138="END"),$I$7,IFERROR(ROUND(VLOOKUP(C138,Notes!$A$14:$B$147,2,FALSE),0),""))</f>
        <v/>
      </c>
      <c r="B138" s="4" t="str">
        <f t="shared" si="9"/>
        <v/>
      </c>
    </row>
    <row r="139" spans="1:2" x14ac:dyDescent="0.25">
      <c r="A139" s="4" t="str">
        <f>IF(OR($C139="END", $D139="END"),$I$7,IFERROR(ROUND(VLOOKUP(C139,Notes!$A$14:$B$147,2,FALSE),0),""))</f>
        <v/>
      </c>
      <c r="B139" s="4" t="str">
        <f t="shared" si="9"/>
        <v/>
      </c>
    </row>
    <row r="140" spans="1:2" x14ac:dyDescent="0.25">
      <c r="A140" s="4" t="str">
        <f>IF(OR($C140="END", $D140="END"),$I$7,IFERROR(ROUND(VLOOKUP(C140,Notes!$A$14:$B$147,2,FALSE),0),""))</f>
        <v/>
      </c>
      <c r="B140" s="4" t="str">
        <f t="shared" si="9"/>
        <v/>
      </c>
    </row>
    <row r="141" spans="1:2" x14ac:dyDescent="0.25">
      <c r="A141" s="4" t="str">
        <f>IF(OR($C141="END", $D141="END"),$I$7,IFERROR(ROUND(VLOOKUP(C141,Notes!$A$14:$B$147,2,FALSE),0),""))</f>
        <v/>
      </c>
      <c r="B141" s="4" t="str">
        <f t="shared" si="9"/>
        <v/>
      </c>
    </row>
    <row r="142" spans="1:2" x14ac:dyDescent="0.25">
      <c r="A142" s="4" t="str">
        <f>IF(OR($C142="END", $D142="END"),$I$7,IFERROR(ROUND(VLOOKUP(C142,Notes!$A$14:$B$147,2,FALSE),0),""))</f>
        <v/>
      </c>
      <c r="B142" s="4" t="str">
        <f t="shared" si="9"/>
        <v/>
      </c>
    </row>
    <row r="143" spans="1:2" x14ac:dyDescent="0.25">
      <c r="A143" s="4" t="str">
        <f>IF(OR($C143="END", $D143="END"),$I$7,IFERROR(ROUND(VLOOKUP(C143,Notes!$A$14:$B$147,2,FALSE),0),""))</f>
        <v/>
      </c>
      <c r="B143" s="4" t="str">
        <f t="shared" si="9"/>
        <v/>
      </c>
    </row>
    <row r="144" spans="1:2" x14ac:dyDescent="0.25">
      <c r="A144" s="4" t="str">
        <f>IF(OR($C144="END", $D144="END"),$I$7,IFERROR(ROUND(VLOOKUP(C144,Notes!$A$14:$B$147,2,FALSE),0),""))</f>
        <v/>
      </c>
      <c r="B144" s="4" t="str">
        <f t="shared" si="9"/>
        <v/>
      </c>
    </row>
    <row r="145" spans="1:2" x14ac:dyDescent="0.25">
      <c r="A145" s="4" t="str">
        <f>IF(OR($C145="END", $D145="END"),$I$7,IFERROR(ROUND(VLOOKUP(C145,Notes!$A$14:$B$147,2,FALSE),0),""))</f>
        <v/>
      </c>
      <c r="B145" s="4" t="str">
        <f t="shared" si="9"/>
        <v/>
      </c>
    </row>
    <row r="146" spans="1:2" x14ac:dyDescent="0.25">
      <c r="A146" s="4" t="str">
        <f>IF(OR($C146="END", $D146="END"),$I$7,IFERROR(ROUND(VLOOKUP(C146,Notes!$A$14:$B$147,2,FALSE),0),""))</f>
        <v/>
      </c>
      <c r="B146" s="4" t="str">
        <f t="shared" si="9"/>
        <v/>
      </c>
    </row>
    <row r="147" spans="1:2" x14ac:dyDescent="0.25">
      <c r="A147" s="4" t="str">
        <f>IF(OR($C147="END", $D147="END"),$I$7,IFERROR(ROUND(VLOOKUP(C147,Notes!$A$14:$B$147,2,FALSE),0),""))</f>
        <v/>
      </c>
      <c r="B147" s="4" t="str">
        <f t="shared" si="9"/>
        <v/>
      </c>
    </row>
    <row r="148" spans="1:2" x14ac:dyDescent="0.25">
      <c r="A148" s="4" t="str">
        <f>IF(OR($C148="END", $D148="END"),$I$7,IFERROR(ROUND(VLOOKUP(C148,Notes!$A$14:$B$147,2,FALSE),0),""))</f>
        <v/>
      </c>
      <c r="B148" s="4" t="str">
        <f t="shared" si="9"/>
        <v/>
      </c>
    </row>
    <row r="149" spans="1:2" x14ac:dyDescent="0.25">
      <c r="A149" s="4" t="str">
        <f>IF(OR($C149="END", $D149="END"),$I$7,IFERROR(ROUND(VLOOKUP(C149,Notes!$A$14:$B$147,2,FALSE),0),""))</f>
        <v/>
      </c>
      <c r="B149" s="4" t="str">
        <f t="shared" si="9"/>
        <v/>
      </c>
    </row>
    <row r="150" spans="1:2" x14ac:dyDescent="0.25">
      <c r="A150" s="4" t="str">
        <f>IF(OR($C150="END", $D150="END"),$I$7,IFERROR(ROUND(VLOOKUP(C150,Notes!$A$14:$B$147,2,FALSE),0),""))</f>
        <v/>
      </c>
      <c r="B150" s="4" t="str">
        <f t="shared" si="9"/>
        <v/>
      </c>
    </row>
    <row r="151" spans="1:2" x14ac:dyDescent="0.25">
      <c r="A151" s="4" t="str">
        <f>IF(OR($C151="END", $D151="END"),$I$7,IFERROR(ROUND(VLOOKUP(C151,Notes!$A$14:$B$147,2,FALSE),0),""))</f>
        <v/>
      </c>
      <c r="B151" s="4" t="str">
        <f t="shared" si="9"/>
        <v/>
      </c>
    </row>
    <row r="152" spans="1:2" x14ac:dyDescent="0.25">
      <c r="A152" s="4" t="str">
        <f>IF(OR($C152="END", $D152="END"),$I$7,IFERROR(ROUND(VLOOKUP(C152,Notes!$A$14:$B$147,2,FALSE),0),""))</f>
        <v/>
      </c>
      <c r="B152" s="4" t="str">
        <f t="shared" si="9"/>
        <v/>
      </c>
    </row>
    <row r="153" spans="1:2" x14ac:dyDescent="0.25">
      <c r="A153" s="4" t="str">
        <f>IF(OR($C153="END", $D153="END"),$I$7,IFERROR(ROUND(VLOOKUP(C153,Notes!$A$14:$B$147,2,FALSE),0),""))</f>
        <v/>
      </c>
      <c r="B153" s="4" t="str">
        <f t="shared" si="9"/>
        <v/>
      </c>
    </row>
    <row r="154" spans="1:2" x14ac:dyDescent="0.25">
      <c r="A154" s="4" t="str">
        <f>IF(OR($C154="END", $D154="END"),$I$7,IFERROR(ROUND(VLOOKUP(C154,Notes!$A$14:$B$147,2,FALSE),0),""))</f>
        <v/>
      </c>
      <c r="B154" s="4" t="str">
        <f t="shared" si="9"/>
        <v/>
      </c>
    </row>
    <row r="155" spans="1:2" x14ac:dyDescent="0.25">
      <c r="A155" s="4" t="str">
        <f>IF(OR($C155="END", $D155="END"),$I$7,IFERROR(ROUND(VLOOKUP(C155,Notes!$A$14:$B$147,2,FALSE),0),""))</f>
        <v/>
      </c>
      <c r="B155" s="4" t="str">
        <f t="shared" si="9"/>
        <v/>
      </c>
    </row>
    <row r="156" spans="1:2" x14ac:dyDescent="0.25">
      <c r="A156" s="4" t="str">
        <f>IF(OR($C156="END", $D156="END"),$I$7,IFERROR(ROUND(VLOOKUP(C156,Notes!$A$14:$B$147,2,FALSE),0),""))</f>
        <v/>
      </c>
      <c r="B156" s="4" t="str">
        <f t="shared" si="9"/>
        <v/>
      </c>
    </row>
    <row r="157" spans="1:2" x14ac:dyDescent="0.25">
      <c r="A157" s="4" t="str">
        <f>IF(OR($C157="END", $D157="END"),$I$7,IFERROR(ROUND(VLOOKUP(C157,Notes!$A$14:$B$147,2,FALSE),0),""))</f>
        <v/>
      </c>
      <c r="B157" s="4" t="str">
        <f t="shared" si="9"/>
        <v/>
      </c>
    </row>
    <row r="158" spans="1:2" x14ac:dyDescent="0.25">
      <c r="A158" s="4" t="str">
        <f>IF(OR($C158="END", $D158="END"),$I$7,IFERROR(ROUND(VLOOKUP(C158,Notes!$A$14:$B$147,2,FALSE),0),""))</f>
        <v/>
      </c>
      <c r="B158" s="4" t="str">
        <f t="shared" si="9"/>
        <v/>
      </c>
    </row>
    <row r="159" spans="1:2" x14ac:dyDescent="0.25">
      <c r="A159" s="4" t="str">
        <f>IF(OR($C159="END", $D159="END"),$I$7,IFERROR(ROUND(VLOOKUP(C159,Notes!$A$14:$B$147,2,FALSE),0),""))</f>
        <v/>
      </c>
      <c r="B159" s="4" t="str">
        <f t="shared" si="9"/>
        <v/>
      </c>
    </row>
    <row r="160" spans="1:2" x14ac:dyDescent="0.25">
      <c r="A160" s="4" t="str">
        <f>IF(OR($C160="END", $D160="END"),$I$7,IFERROR(ROUND(VLOOKUP(C160,Notes!$A$14:$B$147,2,FALSE),0),""))</f>
        <v/>
      </c>
      <c r="B160" s="4" t="str">
        <f t="shared" si="9"/>
        <v/>
      </c>
    </row>
    <row r="161" spans="1:2" x14ac:dyDescent="0.25">
      <c r="A161" s="4" t="str">
        <f>IF(OR($C161="END", $D161="END"),$I$7,IFERROR(ROUND(VLOOKUP(C161,Notes!$A$14:$B$147,2,FALSE),0),""))</f>
        <v/>
      </c>
      <c r="B161" s="4" t="str">
        <f t="shared" si="9"/>
        <v/>
      </c>
    </row>
    <row r="162" spans="1:2" x14ac:dyDescent="0.25">
      <c r="A162" s="4" t="str">
        <f>IF(OR($C162="END", $D162="END"),$I$7,IFERROR(ROUND(VLOOKUP(C162,Notes!$A$14:$B$147,2,FALSE),0),""))</f>
        <v/>
      </c>
      <c r="B162" s="4" t="str">
        <f t="shared" si="9"/>
        <v/>
      </c>
    </row>
    <row r="163" spans="1:2" x14ac:dyDescent="0.25">
      <c r="A163" s="4" t="str">
        <f>IF(OR($C163="END", $D163="END"),$I$7,IFERROR(ROUND(VLOOKUP(C163,Notes!$A$14:$B$147,2,FALSE),0),""))</f>
        <v/>
      </c>
      <c r="B163" s="4" t="str">
        <f t="shared" si="9"/>
        <v/>
      </c>
    </row>
    <row r="164" spans="1:2" x14ac:dyDescent="0.25">
      <c r="A164" s="4" t="str">
        <f>IF(OR($C164="END", $D164="END"),$I$7,IFERROR(ROUND(VLOOKUP(C164,Notes!$A$14:$B$147,2,FALSE),0),""))</f>
        <v/>
      </c>
      <c r="B164" s="4" t="str">
        <f t="shared" si="9"/>
        <v/>
      </c>
    </row>
    <row r="165" spans="1:2" x14ac:dyDescent="0.25">
      <c r="A165" s="4" t="str">
        <f>IF(OR($C165="END", $D165="END"),$I$7,IFERROR(ROUND(VLOOKUP(C165,Notes!$A$14:$B$147,2,FALSE),0),""))</f>
        <v/>
      </c>
      <c r="B165" s="4" t="str">
        <f t="shared" si="9"/>
        <v/>
      </c>
    </row>
    <row r="166" spans="1:2" x14ac:dyDescent="0.25">
      <c r="A166" s="4" t="str">
        <f>IF(OR($C166="END", $D166="END"),$I$7,IFERROR(ROUND(VLOOKUP(C166,Notes!$A$14:$B$147,2,FALSE),0),""))</f>
        <v/>
      </c>
      <c r="B166" s="4" t="str">
        <f t="shared" si="9"/>
        <v/>
      </c>
    </row>
    <row r="167" spans="1:2" x14ac:dyDescent="0.25">
      <c r="A167" s="4" t="str">
        <f>IF(OR($C167="END", $D167="END"),$I$7,IFERROR(ROUND(VLOOKUP(C167,Notes!$A$14:$B$147,2,FALSE),0),""))</f>
        <v/>
      </c>
      <c r="B167" s="4" t="str">
        <f t="shared" si="9"/>
        <v/>
      </c>
    </row>
    <row r="168" spans="1:2" x14ac:dyDescent="0.25">
      <c r="A168" s="4" t="str">
        <f>IF(OR($C168="END", $D168="END"),$I$7,IFERROR(ROUND(VLOOKUP(C168,Notes!$A$14:$B$147,2,FALSE),0),""))</f>
        <v/>
      </c>
      <c r="B168" s="4" t="str">
        <f t="shared" si="9"/>
        <v/>
      </c>
    </row>
    <row r="169" spans="1:2" x14ac:dyDescent="0.25">
      <c r="A169" s="4" t="str">
        <f>IF(OR($C169="END", $D169="END"),$I$7,IFERROR(ROUND(VLOOKUP(C169,Notes!$A$14:$B$147,2,FALSE),0),""))</f>
        <v/>
      </c>
      <c r="B169" s="4" t="str">
        <f t="shared" si="9"/>
        <v/>
      </c>
    </row>
    <row r="170" spans="1:2" x14ac:dyDescent="0.25">
      <c r="A170" s="4" t="str">
        <f>IF(OR($C170="END", $D170="END"),$I$7,IFERROR(ROUND(VLOOKUP(C170,Notes!$A$14:$B$147,2,FALSE),0),""))</f>
        <v/>
      </c>
      <c r="B170" s="4" t="str">
        <f t="shared" si="9"/>
        <v/>
      </c>
    </row>
    <row r="171" spans="1:2" x14ac:dyDescent="0.25">
      <c r="A171" s="4" t="str">
        <f>IF(OR($C171="END", $D171="END"),$I$7,IFERROR(ROUND(VLOOKUP(C171,Notes!$A$14:$B$147,2,FALSE),0),""))</f>
        <v/>
      </c>
      <c r="B171" s="4" t="str">
        <f t="shared" si="9"/>
        <v/>
      </c>
    </row>
    <row r="172" spans="1:2" x14ac:dyDescent="0.25">
      <c r="A172" s="4" t="str">
        <f>IF(OR($C172="END", $D172="END"),$I$7,IFERROR(ROUND(VLOOKUP(C172,Notes!$A$14:$B$147,2,FALSE),0),""))</f>
        <v/>
      </c>
      <c r="B172" s="4" t="str">
        <f t="shared" si="9"/>
        <v/>
      </c>
    </row>
    <row r="173" spans="1:2" x14ac:dyDescent="0.25">
      <c r="A173" s="4" t="str">
        <f>IF(OR($C173="END", $D173="END"),$I$7,IFERROR(ROUND(VLOOKUP(C173,Notes!$A$14:$B$147,2,FALSE),0),""))</f>
        <v/>
      </c>
      <c r="B173" s="4" t="str">
        <f t="shared" si="9"/>
        <v/>
      </c>
    </row>
    <row r="174" spans="1:2" x14ac:dyDescent="0.25">
      <c r="A174" s="4" t="str">
        <f>IF(OR($C174="END", $D174="END"),$I$7,IFERROR(ROUND(VLOOKUP(C174,Notes!$A$14:$B$147,2,FALSE),0),""))</f>
        <v/>
      </c>
      <c r="B174" s="4" t="str">
        <f t="shared" si="9"/>
        <v/>
      </c>
    </row>
    <row r="175" spans="1:2" x14ac:dyDescent="0.25">
      <c r="A175" s="4" t="str">
        <f>IF(OR($C175="END", $D175="END"),$I$7,IFERROR(ROUND(VLOOKUP(C175,Notes!$A$14:$B$147,2,FALSE),0),""))</f>
        <v/>
      </c>
      <c r="B175" s="4" t="str">
        <f t="shared" si="9"/>
        <v/>
      </c>
    </row>
    <row r="176" spans="1:2" x14ac:dyDescent="0.25">
      <c r="A176" s="4" t="str">
        <f>IF(OR($C176="END", $D176="END"),$I$7,IFERROR(ROUND(VLOOKUP(C176,Notes!$A$14:$B$147,2,FALSE),0),""))</f>
        <v/>
      </c>
      <c r="B176" s="4" t="str">
        <f t="shared" si="9"/>
        <v/>
      </c>
    </row>
    <row r="177" spans="1:2" x14ac:dyDescent="0.25">
      <c r="A177" s="4" t="str">
        <f>IF(OR($C177="END", $D177="END"),$I$7,IFERROR(ROUND(VLOOKUP(C177,Notes!$A$14:$B$147,2,FALSE),0),""))</f>
        <v/>
      </c>
      <c r="B177" s="4" t="str">
        <f t="shared" si="9"/>
        <v/>
      </c>
    </row>
    <row r="178" spans="1:2" x14ac:dyDescent="0.25">
      <c r="A178" s="4" t="str">
        <f>IF(OR($C178="END", $D178="END"),$I$7,IFERROR(ROUND(VLOOKUP(C178,Notes!$A$14:$B$147,2,FALSE),0),""))</f>
        <v/>
      </c>
      <c r="B178" s="4" t="str">
        <f t="shared" si="9"/>
        <v/>
      </c>
    </row>
    <row r="179" spans="1:2" x14ac:dyDescent="0.25">
      <c r="A179" s="4" t="str">
        <f>IF(OR($C179="END", $D179="END"),$I$7,IFERROR(ROUND(VLOOKUP(C179,Notes!$A$14:$B$147,2,FALSE),0),""))</f>
        <v/>
      </c>
      <c r="B179" s="4" t="str">
        <f t="shared" si="9"/>
        <v/>
      </c>
    </row>
    <row r="180" spans="1:2" x14ac:dyDescent="0.25">
      <c r="A180" s="4" t="str">
        <f>IF(OR($C180="END", $D180="END"),$I$7,IFERROR(ROUND(VLOOKUP(C180,Notes!$A$14:$B$147,2,FALSE),0),""))</f>
        <v/>
      </c>
      <c r="B180" s="4" t="str">
        <f t="shared" si="9"/>
        <v/>
      </c>
    </row>
    <row r="181" spans="1:2" x14ac:dyDescent="0.25">
      <c r="A181" s="4" t="str">
        <f>IF(OR($C181="END", $D181="END"),$I$7,IFERROR(ROUND(VLOOKUP(C181,Notes!$A$14:$B$147,2,FALSE),0),""))</f>
        <v/>
      </c>
      <c r="B181" s="4" t="str">
        <f t="shared" si="9"/>
        <v/>
      </c>
    </row>
    <row r="182" spans="1:2" x14ac:dyDescent="0.25">
      <c r="A182" s="4" t="str">
        <f>IF(OR($C182="END", $D182="END"),$I$7,IFERROR(ROUND(VLOOKUP(C182,Notes!$A$14:$B$147,2,FALSE),0),""))</f>
        <v/>
      </c>
      <c r="B182" s="4" t="str">
        <f t="shared" si="9"/>
        <v/>
      </c>
    </row>
    <row r="183" spans="1:2" x14ac:dyDescent="0.25">
      <c r="A183" s="4" t="str">
        <f>IF(OR($C183="END", $D183="END"),$I$7,IFERROR(ROUND(VLOOKUP(C183,Notes!$A$14:$B$147,2,FALSE),0),""))</f>
        <v/>
      </c>
      <c r="B183" s="4" t="str">
        <f t="shared" si="9"/>
        <v/>
      </c>
    </row>
    <row r="184" spans="1:2" x14ac:dyDescent="0.25">
      <c r="A184" s="4" t="str">
        <f>IF(OR($C184="END", $D184="END"),$I$7,IFERROR(ROUND(VLOOKUP(C184,Notes!$A$14:$B$147,2,FALSE),0),""))</f>
        <v/>
      </c>
      <c r="B184" s="4" t="str">
        <f t="shared" si="9"/>
        <v/>
      </c>
    </row>
    <row r="185" spans="1:2" x14ac:dyDescent="0.25">
      <c r="A185" s="4" t="str">
        <f>IF(OR($C185="END", $D185="END"),$I$7,IFERROR(ROUND(VLOOKUP(C185,Notes!$A$14:$B$147,2,FALSE),0),""))</f>
        <v/>
      </c>
      <c r="B185" s="4" t="str">
        <f t="shared" si="9"/>
        <v/>
      </c>
    </row>
    <row r="186" spans="1:2" x14ac:dyDescent="0.25">
      <c r="A186" s="4" t="str">
        <f>IF(OR($C186="END", $D186="END"),$I$7,IFERROR(ROUND(VLOOKUP(C186,Notes!$A$14:$B$147,2,FALSE),0),""))</f>
        <v/>
      </c>
      <c r="B186" s="4" t="str">
        <f t="shared" si="9"/>
        <v/>
      </c>
    </row>
    <row r="187" spans="1:2" x14ac:dyDescent="0.25">
      <c r="A187" s="4" t="str">
        <f>IF(OR($C187="END", $D187="END"),$I$7,IFERROR(ROUND(VLOOKUP(C187,Notes!$A$14:$B$147,2,FALSE),0),""))</f>
        <v/>
      </c>
      <c r="B187" s="4" t="str">
        <f t="shared" si="9"/>
        <v/>
      </c>
    </row>
    <row r="188" spans="1:2" x14ac:dyDescent="0.25">
      <c r="A188" s="4" t="str">
        <f>IF(OR($C188="END", $D188="END"),$I$7,IFERROR(ROUND(VLOOKUP(C188,Notes!$A$14:$B$147,2,FALSE),0),""))</f>
        <v/>
      </c>
      <c r="B188" s="4" t="str">
        <f t="shared" si="9"/>
        <v/>
      </c>
    </row>
    <row r="189" spans="1:2" x14ac:dyDescent="0.25">
      <c r="A189" s="4" t="str">
        <f>IF(OR($C189="END", $D189="END"),$I$7,IFERROR(ROUND(VLOOKUP(C189,Notes!$A$14:$B$147,2,FALSE),0),""))</f>
        <v/>
      </c>
      <c r="B189" s="4" t="str">
        <f t="shared" si="9"/>
        <v/>
      </c>
    </row>
    <row r="190" spans="1:2" x14ac:dyDescent="0.25">
      <c r="A190" s="4" t="str">
        <f>IF(OR($C190="END", $D190="END"),$I$7,IFERROR(ROUND(VLOOKUP(C190,Notes!$A$14:$B$147,2,FALSE),0),""))</f>
        <v/>
      </c>
      <c r="B190" s="4" t="str">
        <f t="shared" si="9"/>
        <v/>
      </c>
    </row>
    <row r="191" spans="1:2" x14ac:dyDescent="0.25">
      <c r="A191" s="4" t="str">
        <f>IF(OR($C191="END", $D191="END"),$I$7,IFERROR(ROUND(VLOOKUP(C191,Notes!$A$14:$B$147,2,FALSE),0),""))</f>
        <v/>
      </c>
      <c r="B191" s="4" t="str">
        <f t="shared" si="9"/>
        <v/>
      </c>
    </row>
    <row r="192" spans="1:2" x14ac:dyDescent="0.25">
      <c r="A192" s="4" t="str">
        <f>IF(OR($C192="END", $D192="END"),$I$7,IFERROR(ROUND(VLOOKUP(C192,Notes!$A$14:$B$147,2,FALSE),0),""))</f>
        <v/>
      </c>
      <c r="B192" s="4" t="str">
        <f t="shared" si="9"/>
        <v/>
      </c>
    </row>
    <row r="193" spans="1:2" x14ac:dyDescent="0.25">
      <c r="A193" s="4" t="str">
        <f>IF(OR($C193="END", $D193="END"),$I$7,IFERROR(ROUND(VLOOKUP(C193,Notes!$A$14:$B$147,2,FALSE),0),""))</f>
        <v/>
      </c>
      <c r="B193" s="4" t="str">
        <f t="shared" si="9"/>
        <v/>
      </c>
    </row>
    <row r="194" spans="1:2" x14ac:dyDescent="0.25">
      <c r="A194" s="4" t="str">
        <f>IF(OR($C194="END", $D194="END"),$I$7,IFERROR(ROUND(VLOOKUP(C194,Notes!$A$14:$B$147,2,FALSE),0),""))</f>
        <v/>
      </c>
      <c r="B194" s="4" t="str">
        <f t="shared" si="9"/>
        <v/>
      </c>
    </row>
    <row r="195" spans="1:2" x14ac:dyDescent="0.25">
      <c r="A195" s="4" t="str">
        <f>IF(OR($C195="END", $D195="END"),$I$7,IFERROR(ROUND(VLOOKUP(C195,Notes!$A$14:$B$147,2,FALSE),0),""))</f>
        <v/>
      </c>
      <c r="B195" s="4" t="str">
        <f t="shared" ref="B195:B258" si="10">IF(OR(C195="END", D195="END"),$J$7,IFERROR(ROUND($I$3/D195,0),""))</f>
        <v/>
      </c>
    </row>
    <row r="196" spans="1:2" x14ac:dyDescent="0.25">
      <c r="A196" s="4" t="str">
        <f>IF(OR($C196="END", $D196="END"),$I$7,IFERROR(ROUND(VLOOKUP(C196,Notes!$A$14:$B$147,2,FALSE),0),""))</f>
        <v/>
      </c>
      <c r="B196" s="4" t="str">
        <f t="shared" si="10"/>
        <v/>
      </c>
    </row>
    <row r="197" spans="1:2" x14ac:dyDescent="0.25">
      <c r="A197" s="4" t="str">
        <f>IF(OR($C197="END", $D197="END"),$I$7,IFERROR(ROUND(VLOOKUP(C197,Notes!$A$14:$B$147,2,FALSE),0),""))</f>
        <v/>
      </c>
      <c r="B197" s="4" t="str">
        <f t="shared" si="10"/>
        <v/>
      </c>
    </row>
    <row r="198" spans="1:2" x14ac:dyDescent="0.25">
      <c r="A198" s="4" t="str">
        <f>IF(OR($C198="END", $D198="END"),$I$7,IFERROR(ROUND(VLOOKUP(C198,Notes!$A$14:$B$147,2,FALSE),0),""))</f>
        <v/>
      </c>
      <c r="B198" s="4" t="str">
        <f t="shared" si="10"/>
        <v/>
      </c>
    </row>
    <row r="199" spans="1:2" x14ac:dyDescent="0.25">
      <c r="A199" s="4" t="str">
        <f>IF(OR($C199="END", $D199="END"),$I$7,IFERROR(ROUND(VLOOKUP(C199,Notes!$A$14:$B$147,2,FALSE),0),""))</f>
        <v/>
      </c>
      <c r="B199" s="4" t="str">
        <f t="shared" si="10"/>
        <v/>
      </c>
    </row>
    <row r="200" spans="1:2" x14ac:dyDescent="0.25">
      <c r="A200" s="4" t="str">
        <f>IF(OR($C200="END", $D200="END"),$I$7,IFERROR(ROUND(VLOOKUP(C200,Notes!$A$14:$B$147,2,FALSE),0),""))</f>
        <v/>
      </c>
      <c r="B200" s="4" t="str">
        <f t="shared" si="10"/>
        <v/>
      </c>
    </row>
    <row r="201" spans="1:2" x14ac:dyDescent="0.25">
      <c r="A201" s="4" t="str">
        <f>IF(OR($C201="END", $D201="END"),$I$7,IFERROR(ROUND(VLOOKUP(C201,Notes!$A$14:$B$147,2,FALSE),0),""))</f>
        <v/>
      </c>
      <c r="B201" s="4" t="str">
        <f t="shared" si="10"/>
        <v/>
      </c>
    </row>
    <row r="202" spans="1:2" x14ac:dyDescent="0.25">
      <c r="A202" s="4" t="str">
        <f>IF(OR($C202="END", $D202="END"),$I$7,IFERROR(ROUND(VLOOKUP(C202,Notes!$A$14:$B$147,2,FALSE),0),""))</f>
        <v/>
      </c>
      <c r="B202" s="4" t="str">
        <f t="shared" si="10"/>
        <v/>
      </c>
    </row>
    <row r="203" spans="1:2" x14ac:dyDescent="0.25">
      <c r="A203" s="4" t="str">
        <f>IF(OR($C203="END", $D203="END"),$I$7,IFERROR(ROUND(VLOOKUP(C203,Notes!$A$14:$B$147,2,FALSE),0),""))</f>
        <v/>
      </c>
      <c r="B203" s="4" t="str">
        <f t="shared" si="10"/>
        <v/>
      </c>
    </row>
    <row r="204" spans="1:2" x14ac:dyDescent="0.25">
      <c r="A204" s="4" t="str">
        <f>IF(OR($C204="END", $D204="END"),$I$7,IFERROR(ROUND(VLOOKUP(C204,Notes!$A$14:$B$147,2,FALSE),0),""))</f>
        <v/>
      </c>
      <c r="B204" s="4" t="str">
        <f t="shared" si="10"/>
        <v/>
      </c>
    </row>
    <row r="205" spans="1:2" x14ac:dyDescent="0.25">
      <c r="A205" s="4" t="str">
        <f>IF(OR($C205="END", $D205="END"),$I$7,IFERROR(ROUND(VLOOKUP(C205,Notes!$A$14:$B$147,2,FALSE),0),""))</f>
        <v/>
      </c>
      <c r="B205" s="4" t="str">
        <f t="shared" si="10"/>
        <v/>
      </c>
    </row>
    <row r="206" spans="1:2" x14ac:dyDescent="0.25">
      <c r="A206" s="4" t="str">
        <f>IF(OR($C206="END", $D206="END"),$I$7,IFERROR(ROUND(VLOOKUP(C206,Notes!$A$14:$B$147,2,FALSE),0),""))</f>
        <v/>
      </c>
      <c r="B206" s="4" t="str">
        <f t="shared" si="10"/>
        <v/>
      </c>
    </row>
    <row r="207" spans="1:2" x14ac:dyDescent="0.25">
      <c r="A207" s="4" t="str">
        <f>IF(OR($C207="END", $D207="END"),$I$7,IFERROR(ROUND(VLOOKUP(C207,Notes!$A$14:$B$147,2,FALSE),0),""))</f>
        <v/>
      </c>
      <c r="B207" s="4" t="str">
        <f t="shared" si="10"/>
        <v/>
      </c>
    </row>
    <row r="208" spans="1:2" x14ac:dyDescent="0.25">
      <c r="A208" s="4" t="str">
        <f>IF(OR($C208="END", $D208="END"),$I$7,IFERROR(ROUND(VLOOKUP(C208,Notes!$A$14:$B$147,2,FALSE),0),""))</f>
        <v/>
      </c>
      <c r="B208" s="4" t="str">
        <f t="shared" si="10"/>
        <v/>
      </c>
    </row>
    <row r="209" spans="1:2" x14ac:dyDescent="0.25">
      <c r="A209" s="4" t="str">
        <f>IF(OR($C209="END", $D209="END"),$I$7,IFERROR(ROUND(VLOOKUP(C209,Notes!$A$14:$B$147,2,FALSE),0),""))</f>
        <v/>
      </c>
      <c r="B209" s="4" t="str">
        <f t="shared" si="10"/>
        <v/>
      </c>
    </row>
    <row r="210" spans="1:2" x14ac:dyDescent="0.25">
      <c r="A210" s="4" t="str">
        <f>IF(OR($C210="END", $D210="END"),$I$7,IFERROR(ROUND(VLOOKUP(C210,Notes!$A$14:$B$147,2,FALSE),0),""))</f>
        <v/>
      </c>
      <c r="B210" s="4" t="str">
        <f t="shared" si="10"/>
        <v/>
      </c>
    </row>
    <row r="211" spans="1:2" x14ac:dyDescent="0.25">
      <c r="A211" s="4" t="str">
        <f>IF(OR($C211="END", $D211="END"),$I$7,IFERROR(ROUND(VLOOKUP(C211,Notes!$A$14:$B$147,2,FALSE),0),""))</f>
        <v/>
      </c>
      <c r="B211" s="4" t="str">
        <f t="shared" si="10"/>
        <v/>
      </c>
    </row>
    <row r="212" spans="1:2" x14ac:dyDescent="0.25">
      <c r="A212" s="4" t="str">
        <f>IF(OR($C212="END", $D212="END"),$I$7,IFERROR(ROUND(VLOOKUP(C212,Notes!$A$14:$B$147,2,FALSE),0),""))</f>
        <v/>
      </c>
      <c r="B212" s="4" t="str">
        <f t="shared" si="10"/>
        <v/>
      </c>
    </row>
    <row r="213" spans="1:2" x14ac:dyDescent="0.25">
      <c r="A213" s="4" t="str">
        <f>IF(OR($C213="END", $D213="END"),$I$7,IFERROR(ROUND(VLOOKUP(C213,Notes!$A$14:$B$147,2,FALSE),0),""))</f>
        <v/>
      </c>
      <c r="B213" s="4" t="str">
        <f t="shared" si="10"/>
        <v/>
      </c>
    </row>
    <row r="214" spans="1:2" x14ac:dyDescent="0.25">
      <c r="A214" s="4" t="str">
        <f>IF(OR($C214="END", $D214="END"),$I$7,IFERROR(ROUND(VLOOKUP(C214,Notes!$A$14:$B$147,2,FALSE),0),""))</f>
        <v/>
      </c>
      <c r="B214" s="4" t="str">
        <f t="shared" si="10"/>
        <v/>
      </c>
    </row>
    <row r="215" spans="1:2" x14ac:dyDescent="0.25">
      <c r="A215" s="4" t="str">
        <f>IF(OR($C215="END", $D215="END"),$I$7,IFERROR(ROUND(VLOOKUP(C215,Notes!$A$14:$B$147,2,FALSE),0),""))</f>
        <v/>
      </c>
      <c r="B215" s="4" t="str">
        <f t="shared" si="10"/>
        <v/>
      </c>
    </row>
    <row r="216" spans="1:2" x14ac:dyDescent="0.25">
      <c r="A216" s="4" t="str">
        <f>IF(OR($C216="END", $D216="END"),$I$7,IFERROR(ROUND(VLOOKUP(C216,Notes!$A$14:$B$147,2,FALSE),0),""))</f>
        <v/>
      </c>
      <c r="B216" s="4" t="str">
        <f t="shared" si="10"/>
        <v/>
      </c>
    </row>
    <row r="217" spans="1:2" x14ac:dyDescent="0.25">
      <c r="A217" s="4" t="str">
        <f>IF(OR($C217="END", $D217="END"),$I$7,IFERROR(ROUND(VLOOKUP(C217,Notes!$A$14:$B$147,2,FALSE),0),""))</f>
        <v/>
      </c>
      <c r="B217" s="4" t="str">
        <f t="shared" si="10"/>
        <v/>
      </c>
    </row>
    <row r="218" spans="1:2" x14ac:dyDescent="0.25">
      <c r="A218" s="4" t="str">
        <f>IF(OR($C218="END", $D218="END"),$I$7,IFERROR(ROUND(VLOOKUP(C218,Notes!$A$14:$B$147,2,FALSE),0),""))</f>
        <v/>
      </c>
      <c r="B218" s="4" t="str">
        <f t="shared" si="10"/>
        <v/>
      </c>
    </row>
    <row r="219" spans="1:2" x14ac:dyDescent="0.25">
      <c r="A219" s="4" t="str">
        <f>IF(OR($C219="END", $D219="END"),$I$7,IFERROR(ROUND(VLOOKUP(C219,Notes!$A$14:$B$147,2,FALSE),0),""))</f>
        <v/>
      </c>
      <c r="B219" s="4" t="str">
        <f t="shared" si="10"/>
        <v/>
      </c>
    </row>
    <row r="220" spans="1:2" x14ac:dyDescent="0.25">
      <c r="A220" s="4" t="str">
        <f>IF(OR($C220="END", $D220="END"),$I$7,IFERROR(ROUND(VLOOKUP(C220,Notes!$A$14:$B$147,2,FALSE),0),""))</f>
        <v/>
      </c>
      <c r="B220" s="4" t="str">
        <f t="shared" si="10"/>
        <v/>
      </c>
    </row>
    <row r="221" spans="1:2" x14ac:dyDescent="0.25">
      <c r="A221" s="4" t="str">
        <f>IF(OR($C221="END", $D221="END"),$I$7,IFERROR(ROUND(VLOOKUP(C221,Notes!$A$14:$B$147,2,FALSE),0),""))</f>
        <v/>
      </c>
      <c r="B221" s="4" t="str">
        <f t="shared" si="10"/>
        <v/>
      </c>
    </row>
    <row r="222" spans="1:2" x14ac:dyDescent="0.25">
      <c r="A222" s="4" t="str">
        <f>IF(OR($C222="END", $D222="END"),$I$7,IFERROR(ROUND(VLOOKUP(C222,Notes!$A$14:$B$147,2,FALSE),0),""))</f>
        <v/>
      </c>
      <c r="B222" s="4" t="str">
        <f t="shared" si="10"/>
        <v/>
      </c>
    </row>
    <row r="223" spans="1:2" x14ac:dyDescent="0.25">
      <c r="A223" s="4" t="str">
        <f>IF(OR($C223="END", $D223="END"),$I$7,IFERROR(ROUND(VLOOKUP(C223,Notes!$A$14:$B$147,2,FALSE),0),""))</f>
        <v/>
      </c>
      <c r="B223" s="4" t="str">
        <f t="shared" si="10"/>
        <v/>
      </c>
    </row>
    <row r="224" spans="1:2" x14ac:dyDescent="0.25">
      <c r="A224" s="4" t="str">
        <f>IF(OR($C224="END", $D224="END"),$I$7,IFERROR(ROUND(VLOOKUP(C224,Notes!$A$14:$B$147,2,FALSE),0),""))</f>
        <v/>
      </c>
      <c r="B224" s="4" t="str">
        <f t="shared" si="10"/>
        <v/>
      </c>
    </row>
    <row r="225" spans="1:2" x14ac:dyDescent="0.25">
      <c r="A225" s="4" t="str">
        <f>IF(OR($C225="END", $D225="END"),$I$7,IFERROR(ROUND(VLOOKUP(C225,Notes!$A$14:$B$147,2,FALSE),0),""))</f>
        <v/>
      </c>
      <c r="B225" s="4" t="str">
        <f t="shared" si="10"/>
        <v/>
      </c>
    </row>
    <row r="226" spans="1:2" x14ac:dyDescent="0.25">
      <c r="A226" s="4" t="str">
        <f>IF(OR($C226="END", $D226="END"),$I$7,IFERROR(ROUND(VLOOKUP(C226,Notes!$A$14:$B$147,2,FALSE),0),""))</f>
        <v/>
      </c>
      <c r="B226" s="4" t="str">
        <f t="shared" si="10"/>
        <v/>
      </c>
    </row>
    <row r="227" spans="1:2" x14ac:dyDescent="0.25">
      <c r="A227" s="4" t="str">
        <f>IF(OR($C227="END", $D227="END"),$I$7,IFERROR(ROUND(VLOOKUP(C227,Notes!$A$14:$B$147,2,FALSE),0),""))</f>
        <v/>
      </c>
      <c r="B227" s="4" t="str">
        <f t="shared" si="10"/>
        <v/>
      </c>
    </row>
    <row r="228" spans="1:2" x14ac:dyDescent="0.25">
      <c r="A228" s="4" t="str">
        <f>IF(OR($C228="END", $D228="END"),$I$7,IFERROR(ROUND(VLOOKUP(C228,Notes!$A$14:$B$147,2,FALSE),0),""))</f>
        <v/>
      </c>
      <c r="B228" s="4" t="str">
        <f t="shared" si="10"/>
        <v/>
      </c>
    </row>
    <row r="229" spans="1:2" x14ac:dyDescent="0.25">
      <c r="A229" s="4" t="str">
        <f>IF(OR($C229="END", $D229="END"),$I$7,IFERROR(ROUND(VLOOKUP(C229,Notes!$A$14:$B$147,2,FALSE),0),""))</f>
        <v/>
      </c>
      <c r="B229" s="4" t="str">
        <f t="shared" si="10"/>
        <v/>
      </c>
    </row>
    <row r="230" spans="1:2" x14ac:dyDescent="0.25">
      <c r="A230" s="4" t="str">
        <f>IF(OR($C230="END", $D230="END"),$I$7,IFERROR(ROUND(VLOOKUP(C230,Notes!$A$14:$B$147,2,FALSE),0),""))</f>
        <v/>
      </c>
      <c r="B230" s="4" t="str">
        <f t="shared" si="10"/>
        <v/>
      </c>
    </row>
    <row r="231" spans="1:2" x14ac:dyDescent="0.25">
      <c r="A231" s="4" t="str">
        <f>IF(OR($C231="END", $D231="END"),$I$7,IFERROR(ROUND(VLOOKUP(C231,Notes!$A$14:$B$147,2,FALSE),0),""))</f>
        <v/>
      </c>
      <c r="B231" s="4" t="str">
        <f t="shared" si="10"/>
        <v/>
      </c>
    </row>
    <row r="232" spans="1:2" x14ac:dyDescent="0.25">
      <c r="A232" s="4" t="str">
        <f>IF(OR($C232="END", $D232="END"),$I$7,IFERROR(ROUND(VLOOKUP(C232,Notes!$A$14:$B$147,2,FALSE),0),""))</f>
        <v/>
      </c>
      <c r="B232" s="4" t="str">
        <f t="shared" si="10"/>
        <v/>
      </c>
    </row>
    <row r="233" spans="1:2" x14ac:dyDescent="0.25">
      <c r="A233" s="4" t="str">
        <f>IF(OR($C233="END", $D233="END"),$I$7,IFERROR(ROUND(VLOOKUP(C233,Notes!$A$14:$B$147,2,FALSE),0),""))</f>
        <v/>
      </c>
      <c r="B233" s="4" t="str">
        <f t="shared" si="10"/>
        <v/>
      </c>
    </row>
    <row r="234" spans="1:2" x14ac:dyDescent="0.25">
      <c r="A234" s="4" t="str">
        <f>IF(OR($C234="END", $D234="END"),$I$7,IFERROR(ROUND(VLOOKUP(C234,Notes!$A$14:$B$147,2,FALSE),0),""))</f>
        <v/>
      </c>
      <c r="B234" s="4" t="str">
        <f t="shared" si="10"/>
        <v/>
      </c>
    </row>
    <row r="235" spans="1:2" x14ac:dyDescent="0.25">
      <c r="A235" s="4" t="str">
        <f>IF(OR($C235="END", $D235="END"),$I$7,IFERROR(ROUND(VLOOKUP(C235,Notes!$A$14:$B$147,2,FALSE),0),""))</f>
        <v/>
      </c>
      <c r="B235" s="4" t="str">
        <f t="shared" si="10"/>
        <v/>
      </c>
    </row>
    <row r="236" spans="1:2" x14ac:dyDescent="0.25">
      <c r="A236" s="4" t="str">
        <f>IF(OR($C236="END", $D236="END"),$I$7,IFERROR(ROUND(VLOOKUP(C236,Notes!$A$14:$B$147,2,FALSE),0),""))</f>
        <v/>
      </c>
      <c r="B236" s="4" t="str">
        <f t="shared" si="10"/>
        <v/>
      </c>
    </row>
    <row r="237" spans="1:2" x14ac:dyDescent="0.25">
      <c r="A237" s="4" t="str">
        <f>IF(OR($C237="END", $D237="END"),$I$7,IFERROR(ROUND(VLOOKUP(C237,Notes!$A$14:$B$147,2,FALSE),0),""))</f>
        <v/>
      </c>
      <c r="B237" s="4" t="str">
        <f t="shared" si="10"/>
        <v/>
      </c>
    </row>
    <row r="238" spans="1:2" x14ac:dyDescent="0.25">
      <c r="A238" s="4" t="str">
        <f>IF(OR($C238="END", $D238="END"),$I$7,IFERROR(ROUND(VLOOKUP(C238,Notes!$A$14:$B$147,2,FALSE),0),""))</f>
        <v/>
      </c>
      <c r="B238" s="4" t="str">
        <f t="shared" si="10"/>
        <v/>
      </c>
    </row>
    <row r="239" spans="1:2" x14ac:dyDescent="0.25">
      <c r="A239" s="4" t="str">
        <f>IF(OR($C239="END", $D239="END"),$I$7,IFERROR(ROUND(VLOOKUP(C239,Notes!$A$14:$B$147,2,FALSE),0),""))</f>
        <v/>
      </c>
      <c r="B239" s="4" t="str">
        <f t="shared" si="10"/>
        <v/>
      </c>
    </row>
    <row r="240" spans="1:2" x14ac:dyDescent="0.25">
      <c r="A240" s="4" t="str">
        <f>IF(OR($C240="END", $D240="END"),$I$7,IFERROR(ROUND(VLOOKUP(C240,Notes!$A$14:$B$147,2,FALSE),0),""))</f>
        <v/>
      </c>
      <c r="B240" s="4" t="str">
        <f t="shared" si="10"/>
        <v/>
      </c>
    </row>
    <row r="241" spans="1:2" x14ac:dyDescent="0.25">
      <c r="A241" s="4" t="str">
        <f>IF(OR($C241="END", $D241="END"),$I$7,IFERROR(ROUND(VLOOKUP(C241,Notes!$A$14:$B$147,2,FALSE),0),""))</f>
        <v/>
      </c>
      <c r="B241" s="4" t="str">
        <f t="shared" si="10"/>
        <v/>
      </c>
    </row>
    <row r="242" spans="1:2" x14ac:dyDescent="0.25">
      <c r="A242" s="4" t="str">
        <f>IF(OR($C242="END", $D242="END"),$I$7,IFERROR(ROUND(VLOOKUP(C242,Notes!$A$14:$B$147,2,FALSE),0),""))</f>
        <v/>
      </c>
      <c r="B242" s="4" t="str">
        <f t="shared" si="10"/>
        <v/>
      </c>
    </row>
    <row r="243" spans="1:2" x14ac:dyDescent="0.25">
      <c r="A243" s="4" t="str">
        <f>IF(OR($C243="END", $D243="END"),$I$7,IFERROR(ROUND(VLOOKUP(C243,Notes!$A$14:$B$147,2,FALSE),0),""))</f>
        <v/>
      </c>
      <c r="B243" s="4" t="str">
        <f t="shared" si="10"/>
        <v/>
      </c>
    </row>
    <row r="244" spans="1:2" x14ac:dyDescent="0.25">
      <c r="A244" s="4" t="str">
        <f>IF(OR($C244="END", $D244="END"),$I$7,IFERROR(ROUND(VLOOKUP(C244,Notes!$A$14:$B$147,2,FALSE),0),""))</f>
        <v/>
      </c>
      <c r="B244" s="4" t="str">
        <f t="shared" si="10"/>
        <v/>
      </c>
    </row>
    <row r="245" spans="1:2" x14ac:dyDescent="0.25">
      <c r="A245" s="4" t="str">
        <f>IF(OR($C245="END", $D245="END"),$I$7,IFERROR(ROUND(VLOOKUP(C245,Notes!$A$14:$B$147,2,FALSE),0),""))</f>
        <v/>
      </c>
      <c r="B245" s="4" t="str">
        <f t="shared" si="10"/>
        <v/>
      </c>
    </row>
    <row r="246" spans="1:2" x14ac:dyDescent="0.25">
      <c r="A246" s="4" t="str">
        <f>IF(OR($C246="END", $D246="END"),$I$7,IFERROR(ROUND(VLOOKUP(C246,Notes!$A$14:$B$147,2,FALSE),0),""))</f>
        <v/>
      </c>
      <c r="B246" s="4" t="str">
        <f t="shared" si="10"/>
        <v/>
      </c>
    </row>
    <row r="247" spans="1:2" x14ac:dyDescent="0.25">
      <c r="A247" s="4" t="str">
        <f>IF(OR($C247="END", $D247="END"),$I$7,IFERROR(ROUND(VLOOKUP(C247,Notes!$A$14:$B$147,2,FALSE),0),""))</f>
        <v/>
      </c>
      <c r="B247" s="4" t="str">
        <f t="shared" si="10"/>
        <v/>
      </c>
    </row>
    <row r="248" spans="1:2" x14ac:dyDescent="0.25">
      <c r="A248" s="4" t="str">
        <f>IF(OR($C248="END", $D248="END"),$I$7,IFERROR(ROUND(VLOOKUP(C248,Notes!$A$14:$B$147,2,FALSE),0),""))</f>
        <v/>
      </c>
      <c r="B248" s="4" t="str">
        <f t="shared" si="10"/>
        <v/>
      </c>
    </row>
    <row r="249" spans="1:2" x14ac:dyDescent="0.25">
      <c r="A249" s="4" t="str">
        <f>IF(OR($C249="END", $D249="END"),$I$7,IFERROR(ROUND(VLOOKUP(C249,Notes!$A$14:$B$147,2,FALSE),0),""))</f>
        <v/>
      </c>
      <c r="B249" s="4" t="str">
        <f t="shared" si="10"/>
        <v/>
      </c>
    </row>
    <row r="250" spans="1:2" x14ac:dyDescent="0.25">
      <c r="A250" s="4" t="str">
        <f>IF(OR($C250="END", $D250="END"),$I$7,IFERROR(ROUND(VLOOKUP(C250,Notes!$A$14:$B$147,2,FALSE),0),""))</f>
        <v/>
      </c>
      <c r="B250" s="4" t="str">
        <f t="shared" si="10"/>
        <v/>
      </c>
    </row>
    <row r="251" spans="1:2" x14ac:dyDescent="0.25">
      <c r="A251" s="4" t="str">
        <f>IF(OR($C251="END", $D251="END"),$I$7,IFERROR(ROUND(VLOOKUP(C251,Notes!$A$14:$B$147,2,FALSE),0),""))</f>
        <v/>
      </c>
      <c r="B251" s="4" t="str">
        <f t="shared" si="10"/>
        <v/>
      </c>
    </row>
    <row r="252" spans="1:2" x14ac:dyDescent="0.25">
      <c r="A252" s="4" t="str">
        <f>IF(OR($C252="END", $D252="END"),$I$7,IFERROR(ROUND(VLOOKUP(C252,Notes!$A$14:$B$147,2,FALSE),0),""))</f>
        <v/>
      </c>
      <c r="B252" s="4" t="str">
        <f t="shared" si="10"/>
        <v/>
      </c>
    </row>
    <row r="253" spans="1:2" x14ac:dyDescent="0.25">
      <c r="A253" s="4" t="str">
        <f>IF(OR($C253="END", $D253="END"),$I$7,IFERROR(ROUND(VLOOKUP(C253,Notes!$A$14:$B$147,2,FALSE),0),""))</f>
        <v/>
      </c>
      <c r="B253" s="4" t="str">
        <f t="shared" si="10"/>
        <v/>
      </c>
    </row>
    <row r="254" spans="1:2" x14ac:dyDescent="0.25">
      <c r="A254" s="4" t="str">
        <f>IF(OR($C254="END", $D254="END"),$I$7,IFERROR(ROUND(VLOOKUP(C254,Notes!$A$14:$B$147,2,FALSE),0),""))</f>
        <v/>
      </c>
      <c r="B254" s="4" t="str">
        <f t="shared" si="10"/>
        <v/>
      </c>
    </row>
    <row r="255" spans="1:2" x14ac:dyDescent="0.25">
      <c r="A255" s="4" t="str">
        <f>IF(OR($C255="END", $D255="END"),$I$7,IFERROR(ROUND(VLOOKUP(C255,Notes!$A$14:$B$147,2,FALSE),0),""))</f>
        <v/>
      </c>
      <c r="B255" s="4" t="str">
        <f t="shared" si="10"/>
        <v/>
      </c>
    </row>
    <row r="256" spans="1:2" x14ac:dyDescent="0.25">
      <c r="A256" s="4" t="str">
        <f>IF(OR($C256="END", $D256="END"),$I$7,IFERROR(ROUND(VLOOKUP(C256,Notes!$A$14:$B$147,2,FALSE),0),""))</f>
        <v/>
      </c>
      <c r="B256" s="4" t="str">
        <f t="shared" si="10"/>
        <v/>
      </c>
    </row>
    <row r="257" spans="1:2" x14ac:dyDescent="0.25">
      <c r="A257" s="4" t="str">
        <f>IF(OR($C257="END", $D257="END"),$I$7,IFERROR(ROUND(VLOOKUP(C257,Notes!$A$14:$B$147,2,FALSE),0),""))</f>
        <v/>
      </c>
      <c r="B257" s="4" t="str">
        <f t="shared" si="10"/>
        <v/>
      </c>
    </row>
    <row r="258" spans="1:2" x14ac:dyDescent="0.25">
      <c r="A258" s="4" t="str">
        <f>IF(OR($C258="END", $D258="END"),$I$7,IFERROR(ROUND(VLOOKUP(C258,Notes!$A$14:$B$147,2,FALSE),0),""))</f>
        <v/>
      </c>
      <c r="B258" s="4" t="str">
        <f t="shared" si="10"/>
        <v/>
      </c>
    </row>
    <row r="259" spans="1:2" x14ac:dyDescent="0.25">
      <c r="A259" s="4" t="str">
        <f>IF(OR($C259="END", $D259="END"),$I$7,IFERROR(ROUND(VLOOKUP(C259,Notes!$A$14:$B$147,2,FALSE),0),""))</f>
        <v/>
      </c>
      <c r="B259" s="4" t="str">
        <f t="shared" ref="B259:B322" si="11">IF(OR(C259="END", D259="END"),$J$7,IFERROR(ROUND($I$3/D259,0),""))</f>
        <v/>
      </c>
    </row>
    <row r="260" spans="1:2" x14ac:dyDescent="0.25">
      <c r="A260" s="4" t="str">
        <f>IF(OR($C260="END", $D260="END"),$I$7,IFERROR(ROUND(VLOOKUP(C260,Notes!$A$14:$B$147,2,FALSE),0),""))</f>
        <v/>
      </c>
      <c r="B260" s="4" t="str">
        <f t="shared" si="11"/>
        <v/>
      </c>
    </row>
    <row r="261" spans="1:2" x14ac:dyDescent="0.25">
      <c r="A261" s="4" t="str">
        <f>IF(OR($C261="END", $D261="END"),$I$7,IFERROR(ROUND(VLOOKUP(C261,Notes!$A$14:$B$147,2,FALSE),0),""))</f>
        <v/>
      </c>
      <c r="B261" s="4" t="str">
        <f t="shared" si="11"/>
        <v/>
      </c>
    </row>
    <row r="262" spans="1:2" x14ac:dyDescent="0.25">
      <c r="A262" s="4" t="str">
        <f>IF(OR($C262="END", $D262="END"),$I$7,IFERROR(ROUND(VLOOKUP(C262,Notes!$A$14:$B$147,2,FALSE),0),""))</f>
        <v/>
      </c>
      <c r="B262" s="4" t="str">
        <f t="shared" si="11"/>
        <v/>
      </c>
    </row>
    <row r="263" spans="1:2" x14ac:dyDescent="0.25">
      <c r="A263" s="4" t="str">
        <f>IF(OR($C263="END", $D263="END"),$I$7,IFERROR(ROUND(VLOOKUP(C263,Notes!$A$14:$B$147,2,FALSE),0),""))</f>
        <v/>
      </c>
      <c r="B263" s="4" t="str">
        <f t="shared" si="11"/>
        <v/>
      </c>
    </row>
    <row r="264" spans="1:2" x14ac:dyDescent="0.25">
      <c r="A264" s="4" t="str">
        <f>IF(OR($C264="END", $D264="END"),$I$7,IFERROR(ROUND(VLOOKUP(C264,Notes!$A$14:$B$147,2,FALSE),0),""))</f>
        <v/>
      </c>
      <c r="B264" s="4" t="str">
        <f t="shared" si="11"/>
        <v/>
      </c>
    </row>
    <row r="265" spans="1:2" x14ac:dyDescent="0.25">
      <c r="A265" s="4" t="str">
        <f>IF(OR($C265="END", $D265="END"),$I$7,IFERROR(ROUND(VLOOKUP(C265,Notes!$A$14:$B$147,2,FALSE),0),""))</f>
        <v/>
      </c>
      <c r="B265" s="4" t="str">
        <f t="shared" si="11"/>
        <v/>
      </c>
    </row>
    <row r="266" spans="1:2" x14ac:dyDescent="0.25">
      <c r="A266" s="4" t="str">
        <f>IF(OR($C266="END", $D266="END"),$I$7,IFERROR(ROUND(VLOOKUP(C266,Notes!$A$14:$B$147,2,FALSE),0),""))</f>
        <v/>
      </c>
      <c r="B266" s="4" t="str">
        <f t="shared" si="11"/>
        <v/>
      </c>
    </row>
    <row r="267" spans="1:2" x14ac:dyDescent="0.25">
      <c r="A267" s="4" t="str">
        <f>IF(OR($C267="END", $D267="END"),$I$7,IFERROR(ROUND(VLOOKUP(C267,Notes!$A$14:$B$147,2,FALSE),0),""))</f>
        <v/>
      </c>
      <c r="B267" s="4" t="str">
        <f t="shared" si="11"/>
        <v/>
      </c>
    </row>
    <row r="268" spans="1:2" x14ac:dyDescent="0.25">
      <c r="A268" s="4" t="str">
        <f>IF(OR($C268="END", $D268="END"),$I$7,IFERROR(ROUND(VLOOKUP(C268,Notes!$A$14:$B$147,2,FALSE),0),""))</f>
        <v/>
      </c>
      <c r="B268" s="4" t="str">
        <f t="shared" si="11"/>
        <v/>
      </c>
    </row>
    <row r="269" spans="1:2" x14ac:dyDescent="0.25">
      <c r="A269" s="4" t="str">
        <f>IF(OR($C269="END", $D269="END"),$I$7,IFERROR(ROUND(VLOOKUP(C269,Notes!$A$14:$B$147,2,FALSE),0),""))</f>
        <v/>
      </c>
      <c r="B269" s="4" t="str">
        <f t="shared" si="11"/>
        <v/>
      </c>
    </row>
    <row r="270" spans="1:2" x14ac:dyDescent="0.25">
      <c r="A270" s="4" t="str">
        <f>IF(OR($C270="END", $D270="END"),$I$7,IFERROR(ROUND(VLOOKUP(C270,Notes!$A$14:$B$147,2,FALSE),0),""))</f>
        <v/>
      </c>
      <c r="B270" s="4" t="str">
        <f t="shared" si="11"/>
        <v/>
      </c>
    </row>
    <row r="271" spans="1:2" x14ac:dyDescent="0.25">
      <c r="A271" s="4" t="str">
        <f>IF(OR($C271="END", $D271="END"),$I$7,IFERROR(ROUND(VLOOKUP(C271,Notes!$A$14:$B$147,2,FALSE),0),""))</f>
        <v/>
      </c>
      <c r="B271" s="4" t="str">
        <f t="shared" si="11"/>
        <v/>
      </c>
    </row>
    <row r="272" spans="1:2" x14ac:dyDescent="0.25">
      <c r="A272" s="4" t="str">
        <f>IF(OR($C272="END", $D272="END"),$I$7,IFERROR(ROUND(VLOOKUP(C272,Notes!$A$14:$B$147,2,FALSE),0),""))</f>
        <v/>
      </c>
      <c r="B272" s="4" t="str">
        <f t="shared" si="11"/>
        <v/>
      </c>
    </row>
    <row r="273" spans="1:2" x14ac:dyDescent="0.25">
      <c r="A273" s="4" t="str">
        <f>IF(OR($C273="END", $D273="END"),$I$7,IFERROR(ROUND(VLOOKUP(C273,Notes!$A$14:$B$147,2,FALSE),0),""))</f>
        <v/>
      </c>
      <c r="B273" s="4" t="str">
        <f t="shared" si="11"/>
        <v/>
      </c>
    </row>
    <row r="274" spans="1:2" x14ac:dyDescent="0.25">
      <c r="A274" s="4" t="str">
        <f>IF(OR($C274="END", $D274="END"),$I$7,IFERROR(ROUND(VLOOKUP(C274,Notes!$A$14:$B$147,2,FALSE),0),""))</f>
        <v/>
      </c>
      <c r="B274" s="4" t="str">
        <f t="shared" si="11"/>
        <v/>
      </c>
    </row>
    <row r="275" spans="1:2" x14ac:dyDescent="0.25">
      <c r="A275" s="4" t="str">
        <f>IF(OR($C275="END", $D275="END"),$I$7,IFERROR(ROUND(VLOOKUP(C275,Notes!$A$14:$B$147,2,FALSE),0),""))</f>
        <v/>
      </c>
      <c r="B275" s="4" t="str">
        <f t="shared" si="11"/>
        <v/>
      </c>
    </row>
    <row r="276" spans="1:2" x14ac:dyDescent="0.25">
      <c r="A276" s="4" t="str">
        <f>IF(OR($C276="END", $D276="END"),$I$7,IFERROR(ROUND(VLOOKUP(C276,Notes!$A$14:$B$147,2,FALSE),0),""))</f>
        <v/>
      </c>
      <c r="B276" s="4" t="str">
        <f t="shared" si="11"/>
        <v/>
      </c>
    </row>
    <row r="277" spans="1:2" x14ac:dyDescent="0.25">
      <c r="A277" s="4" t="str">
        <f>IF(OR($C277="END", $D277="END"),$I$7,IFERROR(ROUND(VLOOKUP(C277,Notes!$A$14:$B$147,2,FALSE),0),""))</f>
        <v/>
      </c>
      <c r="B277" s="4" t="str">
        <f t="shared" si="11"/>
        <v/>
      </c>
    </row>
    <row r="278" spans="1:2" x14ac:dyDescent="0.25">
      <c r="A278" s="4" t="str">
        <f>IF(OR($C278="END", $D278="END"),$I$7,IFERROR(ROUND(VLOOKUP(C278,Notes!$A$14:$B$147,2,FALSE),0),""))</f>
        <v/>
      </c>
      <c r="B278" s="4" t="str">
        <f t="shared" si="11"/>
        <v/>
      </c>
    </row>
    <row r="279" spans="1:2" x14ac:dyDescent="0.25">
      <c r="A279" s="4" t="str">
        <f>IF(OR($C279="END", $D279="END"),$I$7,IFERROR(ROUND(VLOOKUP(C279,Notes!$A$14:$B$147,2,FALSE),0),""))</f>
        <v/>
      </c>
      <c r="B279" s="4" t="str">
        <f t="shared" si="11"/>
        <v/>
      </c>
    </row>
    <row r="280" spans="1:2" x14ac:dyDescent="0.25">
      <c r="A280" s="4" t="str">
        <f>IF(OR($C280="END", $D280="END"),$I$7,IFERROR(ROUND(VLOOKUP(C280,Notes!$A$14:$B$147,2,FALSE),0),""))</f>
        <v/>
      </c>
      <c r="B280" s="4" t="str">
        <f t="shared" si="11"/>
        <v/>
      </c>
    </row>
    <row r="281" spans="1:2" x14ac:dyDescent="0.25">
      <c r="A281" s="4" t="str">
        <f>IF(OR($C281="END", $D281="END"),$I$7,IFERROR(ROUND(VLOOKUP(C281,Notes!$A$14:$B$147,2,FALSE),0),""))</f>
        <v/>
      </c>
      <c r="B281" s="4" t="str">
        <f t="shared" si="11"/>
        <v/>
      </c>
    </row>
    <row r="282" spans="1:2" x14ac:dyDescent="0.25">
      <c r="A282" s="4" t="str">
        <f>IF(OR($C282="END", $D282="END"),$I$7,IFERROR(ROUND(VLOOKUP(C282,Notes!$A$14:$B$147,2,FALSE),0),""))</f>
        <v/>
      </c>
      <c r="B282" s="4" t="str">
        <f t="shared" si="11"/>
        <v/>
      </c>
    </row>
    <row r="283" spans="1:2" x14ac:dyDescent="0.25">
      <c r="A283" s="4" t="str">
        <f>IF(OR($C283="END", $D283="END"),$I$7,IFERROR(ROUND(VLOOKUP(C283,Notes!$A$14:$B$147,2,FALSE),0),""))</f>
        <v/>
      </c>
      <c r="B283" s="4" t="str">
        <f t="shared" si="11"/>
        <v/>
      </c>
    </row>
    <row r="284" spans="1:2" x14ac:dyDescent="0.25">
      <c r="A284" s="4" t="str">
        <f>IF(OR($C284="END", $D284="END"),$I$7,IFERROR(ROUND(VLOOKUP(C284,Notes!$A$14:$B$147,2,FALSE),0),""))</f>
        <v/>
      </c>
      <c r="B284" s="4" t="str">
        <f t="shared" si="11"/>
        <v/>
      </c>
    </row>
    <row r="285" spans="1:2" x14ac:dyDescent="0.25">
      <c r="A285" s="4" t="str">
        <f>IF(OR($C285="END", $D285="END"),$I$7,IFERROR(ROUND(VLOOKUP(C285,Notes!$A$14:$B$147,2,FALSE),0),""))</f>
        <v/>
      </c>
      <c r="B285" s="4" t="str">
        <f t="shared" si="11"/>
        <v/>
      </c>
    </row>
    <row r="286" spans="1:2" x14ac:dyDescent="0.25">
      <c r="A286" s="4" t="str">
        <f>IF(OR($C286="END", $D286="END"),$I$7,IFERROR(ROUND(VLOOKUP(C286,Notes!$A$14:$B$147,2,FALSE),0),""))</f>
        <v/>
      </c>
      <c r="B286" s="4" t="str">
        <f t="shared" si="11"/>
        <v/>
      </c>
    </row>
    <row r="287" spans="1:2" x14ac:dyDescent="0.25">
      <c r="A287" s="4" t="str">
        <f>IF(OR($C287="END", $D287="END"),$I$7,IFERROR(ROUND(VLOOKUP(C287,Notes!$A$14:$B$147,2,FALSE),0),""))</f>
        <v/>
      </c>
      <c r="B287" s="4" t="str">
        <f t="shared" si="11"/>
        <v/>
      </c>
    </row>
    <row r="288" spans="1:2" x14ac:dyDescent="0.25">
      <c r="A288" s="4" t="str">
        <f>IF(OR($C288="END", $D288="END"),$I$7,IFERROR(ROUND(VLOOKUP(C288,Notes!$A$14:$B$147,2,FALSE),0),""))</f>
        <v/>
      </c>
      <c r="B288" s="4" t="str">
        <f t="shared" si="11"/>
        <v/>
      </c>
    </row>
    <row r="289" spans="1:2" x14ac:dyDescent="0.25">
      <c r="A289" s="4" t="str">
        <f>IF(OR($C289="END", $D289="END"),$I$7,IFERROR(ROUND(VLOOKUP(C289,Notes!$A$14:$B$147,2,FALSE),0),""))</f>
        <v/>
      </c>
      <c r="B289" s="4" t="str">
        <f t="shared" si="11"/>
        <v/>
      </c>
    </row>
    <row r="290" spans="1:2" x14ac:dyDescent="0.25">
      <c r="A290" s="4" t="str">
        <f>IF(OR($C290="END", $D290="END"),$I$7,IFERROR(ROUND(VLOOKUP(C290,Notes!$A$14:$B$147,2,FALSE),0),""))</f>
        <v/>
      </c>
      <c r="B290" s="4" t="str">
        <f t="shared" si="11"/>
        <v/>
      </c>
    </row>
    <row r="291" spans="1:2" x14ac:dyDescent="0.25">
      <c r="A291" s="4" t="str">
        <f>IF(OR($C291="END", $D291="END"),$I$7,IFERROR(ROUND(VLOOKUP(C291,Notes!$A$14:$B$147,2,FALSE),0),""))</f>
        <v/>
      </c>
      <c r="B291" s="4" t="str">
        <f t="shared" si="11"/>
        <v/>
      </c>
    </row>
    <row r="292" spans="1:2" x14ac:dyDescent="0.25">
      <c r="A292" s="4" t="str">
        <f>IF(OR($C292="END", $D292="END"),$I$7,IFERROR(ROUND(VLOOKUP(C292,Notes!$A$14:$B$147,2,FALSE),0),""))</f>
        <v/>
      </c>
      <c r="B292" s="4" t="str">
        <f t="shared" si="11"/>
        <v/>
      </c>
    </row>
    <row r="293" spans="1:2" x14ac:dyDescent="0.25">
      <c r="A293" s="4" t="str">
        <f>IF(OR($C293="END", $D293="END"),$I$7,IFERROR(ROUND(VLOOKUP(C293,Notes!$A$14:$B$147,2,FALSE),0),""))</f>
        <v/>
      </c>
      <c r="B293" s="4" t="str">
        <f t="shared" si="11"/>
        <v/>
      </c>
    </row>
    <row r="294" spans="1:2" x14ac:dyDescent="0.25">
      <c r="A294" s="4" t="str">
        <f>IF(OR($C294="END", $D294="END"),$I$7,IFERROR(ROUND(VLOOKUP(C294,Notes!$A$14:$B$147,2,FALSE),0),""))</f>
        <v/>
      </c>
      <c r="B294" s="4" t="str">
        <f t="shared" si="11"/>
        <v/>
      </c>
    </row>
    <row r="295" spans="1:2" x14ac:dyDescent="0.25">
      <c r="A295" s="4" t="str">
        <f>IF(OR($C295="END", $D295="END"),$I$7,IFERROR(ROUND(VLOOKUP(C295,Notes!$A$14:$B$147,2,FALSE),0),""))</f>
        <v/>
      </c>
      <c r="B295" s="4" t="str">
        <f t="shared" si="11"/>
        <v/>
      </c>
    </row>
    <row r="296" spans="1:2" x14ac:dyDescent="0.25">
      <c r="A296" s="4" t="str">
        <f>IF(OR($C296="END", $D296="END"),$I$7,IFERROR(ROUND(VLOOKUP(C296,Notes!$A$14:$B$147,2,FALSE),0),""))</f>
        <v/>
      </c>
      <c r="B296" s="4" t="str">
        <f t="shared" si="11"/>
        <v/>
      </c>
    </row>
    <row r="297" spans="1:2" x14ac:dyDescent="0.25">
      <c r="A297" s="4" t="str">
        <f>IF(OR($C297="END", $D297="END"),$I$7,IFERROR(ROUND(VLOOKUP(C297,Notes!$A$14:$B$147,2,FALSE),0),""))</f>
        <v/>
      </c>
      <c r="B297" s="4" t="str">
        <f t="shared" si="11"/>
        <v/>
      </c>
    </row>
    <row r="298" spans="1:2" x14ac:dyDescent="0.25">
      <c r="A298" s="4" t="str">
        <f>IF(OR($C298="END", $D298="END"),$I$7,IFERROR(ROUND(VLOOKUP(C298,Notes!$A$14:$B$147,2,FALSE),0),""))</f>
        <v/>
      </c>
      <c r="B298" s="4" t="str">
        <f t="shared" si="11"/>
        <v/>
      </c>
    </row>
    <row r="299" spans="1:2" x14ac:dyDescent="0.25">
      <c r="A299" s="4" t="str">
        <f>IF(OR($C299="END", $D299="END"),$I$7,IFERROR(ROUND(VLOOKUP(C299,Notes!$A$14:$B$147,2,FALSE),0),""))</f>
        <v/>
      </c>
      <c r="B299" s="4" t="str">
        <f t="shared" si="11"/>
        <v/>
      </c>
    </row>
    <row r="300" spans="1:2" x14ac:dyDescent="0.25">
      <c r="A300" s="4" t="str">
        <f>IF(OR($C300="END", $D300="END"),$I$7,IFERROR(ROUND(VLOOKUP(C300,Notes!$A$14:$B$147,2,FALSE),0),""))</f>
        <v/>
      </c>
      <c r="B300" s="4" t="str">
        <f t="shared" si="11"/>
        <v/>
      </c>
    </row>
    <row r="301" spans="1:2" x14ac:dyDescent="0.25">
      <c r="A301" s="4" t="str">
        <f>IF(OR($C301="END", $D301="END"),$I$7,IFERROR(ROUND(VLOOKUP(C301,Notes!$A$14:$B$147,2,FALSE),0),""))</f>
        <v/>
      </c>
      <c r="B301" s="4" t="str">
        <f t="shared" si="11"/>
        <v/>
      </c>
    </row>
    <row r="302" spans="1:2" x14ac:dyDescent="0.25">
      <c r="A302" s="4" t="str">
        <f>IF(OR($C302="END", $D302="END"),$I$7,IFERROR(ROUND(VLOOKUP(C302,Notes!$A$14:$B$147,2,FALSE),0),""))</f>
        <v/>
      </c>
      <c r="B302" s="4" t="str">
        <f t="shared" si="11"/>
        <v/>
      </c>
    </row>
    <row r="303" spans="1:2" x14ac:dyDescent="0.25">
      <c r="A303" s="4" t="str">
        <f>IF(OR($C303="END", $D303="END"),$I$7,IFERROR(ROUND(VLOOKUP(C303,Notes!$A$14:$B$147,2,FALSE),0),""))</f>
        <v/>
      </c>
      <c r="B303" s="4" t="str">
        <f t="shared" si="11"/>
        <v/>
      </c>
    </row>
    <row r="304" spans="1:2" x14ac:dyDescent="0.25">
      <c r="A304" s="4" t="str">
        <f>IF(OR($C304="END", $D304="END"),$I$7,IFERROR(ROUND(VLOOKUP(C304,Notes!$A$14:$B$147,2,FALSE),0),""))</f>
        <v/>
      </c>
      <c r="B304" s="4" t="str">
        <f t="shared" si="11"/>
        <v/>
      </c>
    </row>
    <row r="305" spans="1:2" x14ac:dyDescent="0.25">
      <c r="A305" s="4" t="str">
        <f>IF(OR($C305="END", $D305="END"),$I$7,IFERROR(ROUND(VLOOKUP(C305,Notes!$A$14:$B$147,2,FALSE),0),""))</f>
        <v/>
      </c>
      <c r="B305" s="4" t="str">
        <f t="shared" si="11"/>
        <v/>
      </c>
    </row>
    <row r="306" spans="1:2" x14ac:dyDescent="0.25">
      <c r="A306" s="4" t="str">
        <f>IF(OR($C306="END", $D306="END"),$I$7,IFERROR(ROUND(VLOOKUP(C306,Notes!$A$14:$B$147,2,FALSE),0),""))</f>
        <v/>
      </c>
      <c r="B306" s="4" t="str">
        <f t="shared" si="11"/>
        <v/>
      </c>
    </row>
    <row r="307" spans="1:2" x14ac:dyDescent="0.25">
      <c r="A307" s="4" t="str">
        <f>IF(OR($C307="END", $D307="END"),$I$7,IFERROR(ROUND(VLOOKUP(C307,Notes!$A$14:$B$147,2,FALSE),0),""))</f>
        <v/>
      </c>
      <c r="B307" s="4" t="str">
        <f t="shared" si="11"/>
        <v/>
      </c>
    </row>
    <row r="308" spans="1:2" x14ac:dyDescent="0.25">
      <c r="A308" s="4" t="str">
        <f>IF(OR($C308="END", $D308="END"),$I$7,IFERROR(ROUND(VLOOKUP(C308,Notes!$A$14:$B$147,2,FALSE),0),""))</f>
        <v/>
      </c>
      <c r="B308" s="4" t="str">
        <f t="shared" si="11"/>
        <v/>
      </c>
    </row>
    <row r="309" spans="1:2" x14ac:dyDescent="0.25">
      <c r="A309" s="4" t="str">
        <f>IF(OR($C309="END", $D309="END"),$I$7,IFERROR(ROUND(VLOOKUP(C309,Notes!$A$14:$B$147,2,FALSE),0),""))</f>
        <v/>
      </c>
      <c r="B309" s="4" t="str">
        <f t="shared" si="11"/>
        <v/>
      </c>
    </row>
    <row r="310" spans="1:2" x14ac:dyDescent="0.25">
      <c r="A310" s="4" t="str">
        <f>IF(OR($C310="END", $D310="END"),$I$7,IFERROR(ROUND(VLOOKUP(C310,Notes!$A$14:$B$147,2,FALSE),0),""))</f>
        <v/>
      </c>
      <c r="B310" s="4" t="str">
        <f t="shared" si="11"/>
        <v/>
      </c>
    </row>
    <row r="311" spans="1:2" x14ac:dyDescent="0.25">
      <c r="A311" s="4" t="str">
        <f>IF(OR($C311="END", $D311="END"),$I$7,IFERROR(ROUND(VLOOKUP(C311,Notes!$A$14:$B$147,2,FALSE),0),""))</f>
        <v/>
      </c>
      <c r="B311" s="4" t="str">
        <f t="shared" si="11"/>
        <v/>
      </c>
    </row>
    <row r="312" spans="1:2" x14ac:dyDescent="0.25">
      <c r="A312" s="4" t="str">
        <f>IF(OR($C312="END", $D312="END"),$I$7,IFERROR(ROUND(VLOOKUP(C312,Notes!$A$14:$B$147,2,FALSE),0),""))</f>
        <v/>
      </c>
      <c r="B312" s="4" t="str">
        <f t="shared" si="11"/>
        <v/>
      </c>
    </row>
    <row r="313" spans="1:2" x14ac:dyDescent="0.25">
      <c r="A313" s="4" t="str">
        <f>IF(OR($C313="END", $D313="END"),$I$7,IFERROR(ROUND(VLOOKUP(C313,Notes!$A$14:$B$147,2,FALSE),0),""))</f>
        <v/>
      </c>
      <c r="B313" s="4" t="str">
        <f t="shared" si="11"/>
        <v/>
      </c>
    </row>
    <row r="314" spans="1:2" x14ac:dyDescent="0.25">
      <c r="A314" s="4" t="str">
        <f>IF(OR($C314="END", $D314="END"),$I$7,IFERROR(ROUND(VLOOKUP(C314,Notes!$A$14:$B$147,2,FALSE),0),""))</f>
        <v/>
      </c>
      <c r="B314" s="4" t="str">
        <f t="shared" si="11"/>
        <v/>
      </c>
    </row>
    <row r="315" spans="1:2" x14ac:dyDescent="0.25">
      <c r="A315" s="4" t="str">
        <f>IF(OR($C315="END", $D315="END"),$I$7,IFERROR(ROUND(VLOOKUP(C315,Notes!$A$14:$B$147,2,FALSE),0),""))</f>
        <v/>
      </c>
      <c r="B315" s="4" t="str">
        <f t="shared" si="11"/>
        <v/>
      </c>
    </row>
    <row r="316" spans="1:2" x14ac:dyDescent="0.25">
      <c r="A316" s="4" t="str">
        <f>IF(OR($C316="END", $D316="END"),$I$7,IFERROR(ROUND(VLOOKUP(C316,Notes!$A$14:$B$147,2,FALSE),0),""))</f>
        <v/>
      </c>
      <c r="B316" s="4" t="str">
        <f t="shared" si="11"/>
        <v/>
      </c>
    </row>
    <row r="317" spans="1:2" x14ac:dyDescent="0.25">
      <c r="A317" s="4" t="str">
        <f>IF(OR($C317="END", $D317="END"),$I$7,IFERROR(ROUND(VLOOKUP(C317,Notes!$A$14:$B$147,2,FALSE),0),""))</f>
        <v/>
      </c>
      <c r="B317" s="4" t="str">
        <f t="shared" si="11"/>
        <v/>
      </c>
    </row>
    <row r="318" spans="1:2" x14ac:dyDescent="0.25">
      <c r="A318" s="4" t="str">
        <f>IF(OR($C318="END", $D318="END"),$I$7,IFERROR(ROUND(VLOOKUP(C318,Notes!$A$14:$B$147,2,FALSE),0),""))</f>
        <v/>
      </c>
      <c r="B318" s="4" t="str">
        <f t="shared" si="11"/>
        <v/>
      </c>
    </row>
    <row r="319" spans="1:2" x14ac:dyDescent="0.25">
      <c r="A319" s="4" t="str">
        <f>IF(OR($C319="END", $D319="END"),$I$7,IFERROR(ROUND(VLOOKUP(C319,Notes!$A$14:$B$147,2,FALSE),0),""))</f>
        <v/>
      </c>
      <c r="B319" s="4" t="str">
        <f t="shared" si="11"/>
        <v/>
      </c>
    </row>
    <row r="320" spans="1:2" x14ac:dyDescent="0.25">
      <c r="A320" s="4" t="str">
        <f>IF(OR($C320="END", $D320="END"),$I$7,IFERROR(ROUND(VLOOKUP(C320,Notes!$A$14:$B$147,2,FALSE),0),""))</f>
        <v/>
      </c>
      <c r="B320" s="4" t="str">
        <f t="shared" si="11"/>
        <v/>
      </c>
    </row>
    <row r="321" spans="1:2" x14ac:dyDescent="0.25">
      <c r="A321" s="4" t="str">
        <f>IF(OR($C321="END", $D321="END"),$I$7,IFERROR(ROUND(VLOOKUP(C321,Notes!$A$14:$B$147,2,FALSE),0),""))</f>
        <v/>
      </c>
      <c r="B321" s="4" t="str">
        <f t="shared" si="11"/>
        <v/>
      </c>
    </row>
    <row r="322" spans="1:2" x14ac:dyDescent="0.25">
      <c r="A322" s="4" t="str">
        <f>IF(OR($C322="END", $D322="END"),$I$7,IFERROR(ROUND(VLOOKUP(C322,Notes!$A$14:$B$147,2,FALSE),0),""))</f>
        <v/>
      </c>
      <c r="B322" s="4" t="str">
        <f t="shared" si="11"/>
        <v/>
      </c>
    </row>
    <row r="323" spans="1:2" x14ac:dyDescent="0.25">
      <c r="A323" s="4" t="str">
        <f>IF(OR($C323="END", $D323="END"),$I$7,IFERROR(ROUND(VLOOKUP(C323,Notes!$A$14:$B$147,2,FALSE),0),""))</f>
        <v/>
      </c>
      <c r="B323" s="4" t="str">
        <f t="shared" ref="B323:B386" si="12">IF(OR(C323="END", D323="END"),$J$7,IFERROR(ROUND($I$3/D323,0),""))</f>
        <v/>
      </c>
    </row>
    <row r="324" spans="1:2" x14ac:dyDescent="0.25">
      <c r="A324" s="4" t="str">
        <f>IF(OR($C324="END", $D324="END"),$I$7,IFERROR(ROUND(VLOOKUP(C324,Notes!$A$14:$B$147,2,FALSE),0),""))</f>
        <v/>
      </c>
      <c r="B324" s="4" t="str">
        <f t="shared" si="12"/>
        <v/>
      </c>
    </row>
    <row r="325" spans="1:2" x14ac:dyDescent="0.25">
      <c r="A325" s="4" t="str">
        <f>IF(OR($C325="END", $D325="END"),$I$7,IFERROR(ROUND(VLOOKUP(C325,Notes!$A$14:$B$147,2,FALSE),0),""))</f>
        <v/>
      </c>
      <c r="B325" s="4" t="str">
        <f t="shared" si="12"/>
        <v/>
      </c>
    </row>
    <row r="326" spans="1:2" x14ac:dyDescent="0.25">
      <c r="A326" s="4" t="str">
        <f>IF(OR($C326="END", $D326="END"),$I$7,IFERROR(ROUND(VLOOKUP(C326,Notes!$A$14:$B$147,2,FALSE),0),""))</f>
        <v/>
      </c>
      <c r="B326" s="4" t="str">
        <f t="shared" si="12"/>
        <v/>
      </c>
    </row>
    <row r="327" spans="1:2" x14ac:dyDescent="0.25">
      <c r="A327" s="4" t="str">
        <f>IF(OR($C327="END", $D327="END"),$I$7,IFERROR(ROUND(VLOOKUP(C327,Notes!$A$14:$B$147,2,FALSE),0),""))</f>
        <v/>
      </c>
      <c r="B327" s="4" t="str">
        <f t="shared" si="12"/>
        <v/>
      </c>
    </row>
    <row r="328" spans="1:2" x14ac:dyDescent="0.25">
      <c r="A328" s="4" t="str">
        <f>IF(OR($C328="END", $D328="END"),$I$7,IFERROR(ROUND(VLOOKUP(C328,Notes!$A$14:$B$147,2,FALSE),0),""))</f>
        <v/>
      </c>
      <c r="B328" s="4" t="str">
        <f t="shared" si="12"/>
        <v/>
      </c>
    </row>
    <row r="329" spans="1:2" x14ac:dyDescent="0.25">
      <c r="A329" s="4" t="str">
        <f>IF(OR($C329="END", $D329="END"),$I$7,IFERROR(ROUND(VLOOKUP(C329,Notes!$A$14:$B$147,2,FALSE),0),""))</f>
        <v/>
      </c>
      <c r="B329" s="4" t="str">
        <f t="shared" si="12"/>
        <v/>
      </c>
    </row>
    <row r="330" spans="1:2" x14ac:dyDescent="0.25">
      <c r="A330" s="4" t="str">
        <f>IF(OR($C330="END", $D330="END"),$I$7,IFERROR(ROUND(VLOOKUP(C330,Notes!$A$14:$B$147,2,FALSE),0),""))</f>
        <v/>
      </c>
      <c r="B330" s="4" t="str">
        <f t="shared" si="12"/>
        <v/>
      </c>
    </row>
    <row r="331" spans="1:2" x14ac:dyDescent="0.25">
      <c r="A331" s="4" t="str">
        <f>IF(OR($C331="END", $D331="END"),$I$7,IFERROR(ROUND(VLOOKUP(C331,Notes!$A$14:$B$147,2,FALSE),0),""))</f>
        <v/>
      </c>
      <c r="B331" s="4" t="str">
        <f t="shared" si="12"/>
        <v/>
      </c>
    </row>
    <row r="332" spans="1:2" x14ac:dyDescent="0.25">
      <c r="A332" s="4" t="str">
        <f>IF(OR($C332="END", $D332="END"),$I$7,IFERROR(ROUND(VLOOKUP(C332,Notes!$A$14:$B$147,2,FALSE),0),""))</f>
        <v/>
      </c>
      <c r="B332" s="4" t="str">
        <f t="shared" si="12"/>
        <v/>
      </c>
    </row>
    <row r="333" spans="1:2" x14ac:dyDescent="0.25">
      <c r="A333" s="4" t="str">
        <f>IF(OR($C333="END", $D333="END"),$I$7,IFERROR(ROUND(VLOOKUP(C333,Notes!$A$14:$B$147,2,FALSE),0),""))</f>
        <v/>
      </c>
      <c r="B333" s="4" t="str">
        <f t="shared" si="12"/>
        <v/>
      </c>
    </row>
    <row r="334" spans="1:2" x14ac:dyDescent="0.25">
      <c r="A334" s="4" t="str">
        <f>IF(OR($C334="END", $D334="END"),$I$7,IFERROR(ROUND(VLOOKUP(C334,Notes!$A$14:$B$147,2,FALSE),0),""))</f>
        <v/>
      </c>
      <c r="B334" s="4" t="str">
        <f t="shared" si="12"/>
        <v/>
      </c>
    </row>
    <row r="335" spans="1:2" x14ac:dyDescent="0.25">
      <c r="A335" s="4" t="str">
        <f>IF(OR($C335="END", $D335="END"),$I$7,IFERROR(ROUND(VLOOKUP(C335,Notes!$A$14:$B$147,2,FALSE),0),""))</f>
        <v/>
      </c>
      <c r="B335" s="4" t="str">
        <f t="shared" si="12"/>
        <v/>
      </c>
    </row>
    <row r="336" spans="1:2" x14ac:dyDescent="0.25">
      <c r="A336" s="4" t="str">
        <f>IF(OR($C336="END", $D336="END"),$I$7,IFERROR(ROUND(VLOOKUP(C336,Notes!$A$14:$B$147,2,FALSE),0),""))</f>
        <v/>
      </c>
      <c r="B336" s="4" t="str">
        <f t="shared" si="12"/>
        <v/>
      </c>
    </row>
    <row r="337" spans="1:2" x14ac:dyDescent="0.25">
      <c r="A337" s="4" t="str">
        <f>IF(OR($C337="END", $D337="END"),$I$7,IFERROR(ROUND(VLOOKUP(C337,Notes!$A$14:$B$147,2,FALSE),0),""))</f>
        <v/>
      </c>
      <c r="B337" s="4" t="str">
        <f t="shared" si="12"/>
        <v/>
      </c>
    </row>
    <row r="338" spans="1:2" x14ac:dyDescent="0.25">
      <c r="A338" s="4" t="str">
        <f>IF(OR($C338="END", $D338="END"),$I$7,IFERROR(ROUND(VLOOKUP(C338,Notes!$A$14:$B$147,2,FALSE),0),""))</f>
        <v/>
      </c>
      <c r="B338" s="4" t="str">
        <f t="shared" si="12"/>
        <v/>
      </c>
    </row>
    <row r="339" spans="1:2" x14ac:dyDescent="0.25">
      <c r="A339" s="4" t="str">
        <f>IF(OR($C339="END", $D339="END"),$I$7,IFERROR(ROUND(VLOOKUP(C339,Notes!$A$14:$B$147,2,FALSE),0),""))</f>
        <v/>
      </c>
      <c r="B339" s="4" t="str">
        <f t="shared" si="12"/>
        <v/>
      </c>
    </row>
    <row r="340" spans="1:2" x14ac:dyDescent="0.25">
      <c r="A340" s="4" t="str">
        <f>IF(OR($C340="END", $D340="END"),$I$7,IFERROR(ROUND(VLOOKUP(C340,Notes!$A$14:$B$147,2,FALSE),0),""))</f>
        <v/>
      </c>
      <c r="B340" s="4" t="str">
        <f t="shared" si="12"/>
        <v/>
      </c>
    </row>
    <row r="341" spans="1:2" x14ac:dyDescent="0.25">
      <c r="A341" s="4" t="str">
        <f>IF(OR($C341="END", $D341="END"),$I$7,IFERROR(ROUND(VLOOKUP(C341,Notes!$A$14:$B$147,2,FALSE),0),""))</f>
        <v/>
      </c>
      <c r="B341" s="4" t="str">
        <f t="shared" si="12"/>
        <v/>
      </c>
    </row>
    <row r="342" spans="1:2" x14ac:dyDescent="0.25">
      <c r="A342" s="4" t="str">
        <f>IF(OR($C342="END", $D342="END"),$I$7,IFERROR(ROUND(VLOOKUP(C342,Notes!$A$14:$B$147,2,FALSE),0),""))</f>
        <v/>
      </c>
      <c r="B342" s="4" t="str">
        <f t="shared" si="12"/>
        <v/>
      </c>
    </row>
    <row r="343" spans="1:2" x14ac:dyDescent="0.25">
      <c r="A343" s="4" t="str">
        <f>IF(OR($C343="END", $D343="END"),$I$7,IFERROR(ROUND(VLOOKUP(C343,Notes!$A$14:$B$147,2,FALSE),0),""))</f>
        <v/>
      </c>
      <c r="B343" s="4" t="str">
        <f t="shared" si="12"/>
        <v/>
      </c>
    </row>
    <row r="344" spans="1:2" x14ac:dyDescent="0.25">
      <c r="A344" s="4" t="str">
        <f>IF(OR($C344="END", $D344="END"),$I$7,IFERROR(ROUND(VLOOKUP(C344,Notes!$A$14:$B$147,2,FALSE),0),""))</f>
        <v/>
      </c>
      <c r="B344" s="4" t="str">
        <f t="shared" si="12"/>
        <v/>
      </c>
    </row>
    <row r="345" spans="1:2" x14ac:dyDescent="0.25">
      <c r="A345" s="4" t="str">
        <f>IF(OR($C345="END", $D345="END"),$I$7,IFERROR(ROUND(VLOOKUP(C345,Notes!$A$14:$B$147,2,FALSE),0),""))</f>
        <v/>
      </c>
      <c r="B345" s="4" t="str">
        <f t="shared" si="12"/>
        <v/>
      </c>
    </row>
    <row r="346" spans="1:2" x14ac:dyDescent="0.25">
      <c r="A346" s="4" t="str">
        <f>IF(OR($C346="END", $D346="END"),$I$7,IFERROR(ROUND(VLOOKUP(C346,Notes!$A$14:$B$147,2,FALSE),0),""))</f>
        <v/>
      </c>
      <c r="B346" s="4" t="str">
        <f t="shared" si="12"/>
        <v/>
      </c>
    </row>
    <row r="347" spans="1:2" x14ac:dyDescent="0.25">
      <c r="A347" s="4" t="str">
        <f>IF(OR($C347="END", $D347="END"),$I$7,IFERROR(ROUND(VLOOKUP(C347,Notes!$A$14:$B$147,2,FALSE),0),""))</f>
        <v/>
      </c>
      <c r="B347" s="4" t="str">
        <f t="shared" si="12"/>
        <v/>
      </c>
    </row>
    <row r="348" spans="1:2" x14ac:dyDescent="0.25">
      <c r="A348" s="4" t="str">
        <f>IF(OR($C348="END", $D348="END"),$I$7,IFERROR(ROUND(VLOOKUP(C348,Notes!$A$14:$B$147,2,FALSE),0),""))</f>
        <v/>
      </c>
      <c r="B348" s="4" t="str">
        <f t="shared" si="12"/>
        <v/>
      </c>
    </row>
    <row r="349" spans="1:2" x14ac:dyDescent="0.25">
      <c r="A349" s="4" t="str">
        <f>IF(OR($C349="END", $D349="END"),$I$7,IFERROR(ROUND(VLOOKUP(C349,Notes!$A$14:$B$147,2,FALSE),0),""))</f>
        <v/>
      </c>
      <c r="B349" s="4" t="str">
        <f t="shared" si="12"/>
        <v/>
      </c>
    </row>
    <row r="350" spans="1:2" x14ac:dyDescent="0.25">
      <c r="A350" s="4" t="str">
        <f>IF(OR($C350="END", $D350="END"),$I$7,IFERROR(ROUND(VLOOKUP(C350,Notes!$A$14:$B$147,2,FALSE),0),""))</f>
        <v/>
      </c>
      <c r="B350" s="4" t="str">
        <f t="shared" si="12"/>
        <v/>
      </c>
    </row>
    <row r="351" spans="1:2" x14ac:dyDescent="0.25">
      <c r="A351" s="4" t="str">
        <f>IF(OR($C351="END", $D351="END"),$I$7,IFERROR(ROUND(VLOOKUP(C351,Notes!$A$14:$B$147,2,FALSE),0),""))</f>
        <v/>
      </c>
      <c r="B351" s="4" t="str">
        <f t="shared" si="12"/>
        <v/>
      </c>
    </row>
    <row r="352" spans="1:2" x14ac:dyDescent="0.25">
      <c r="A352" s="4" t="str">
        <f>IF(OR($C352="END", $D352="END"),$I$7,IFERROR(ROUND(VLOOKUP(C352,Notes!$A$14:$B$147,2,FALSE),0),""))</f>
        <v/>
      </c>
      <c r="B352" s="4" t="str">
        <f t="shared" si="12"/>
        <v/>
      </c>
    </row>
    <row r="353" spans="1:2" x14ac:dyDescent="0.25">
      <c r="A353" s="4" t="str">
        <f>IF(OR($C353="END", $D353="END"),$I$7,IFERROR(ROUND(VLOOKUP(C353,Notes!$A$14:$B$147,2,FALSE),0),""))</f>
        <v/>
      </c>
      <c r="B353" s="4" t="str">
        <f t="shared" si="12"/>
        <v/>
      </c>
    </row>
    <row r="354" spans="1:2" x14ac:dyDescent="0.25">
      <c r="A354" s="4" t="str">
        <f>IF(OR($C354="END", $D354="END"),$I$7,IFERROR(ROUND(VLOOKUP(C354,Notes!$A$14:$B$147,2,FALSE),0),""))</f>
        <v/>
      </c>
      <c r="B354" s="4" t="str">
        <f t="shared" si="12"/>
        <v/>
      </c>
    </row>
    <row r="355" spans="1:2" x14ac:dyDescent="0.25">
      <c r="A355" s="4" t="str">
        <f>IF(OR($C355="END", $D355="END"),$I$7,IFERROR(ROUND(VLOOKUP(C355,Notes!$A$14:$B$147,2,FALSE),0),""))</f>
        <v/>
      </c>
      <c r="B355" s="4" t="str">
        <f t="shared" si="12"/>
        <v/>
      </c>
    </row>
    <row r="356" spans="1:2" x14ac:dyDescent="0.25">
      <c r="A356" s="4" t="str">
        <f>IF(OR($C356="END", $D356="END"),$I$7,IFERROR(ROUND(VLOOKUP(C356,Notes!$A$14:$B$147,2,FALSE),0),""))</f>
        <v/>
      </c>
      <c r="B356" s="4" t="str">
        <f t="shared" si="12"/>
        <v/>
      </c>
    </row>
    <row r="357" spans="1:2" x14ac:dyDescent="0.25">
      <c r="A357" s="4" t="str">
        <f>IF(OR($C357="END", $D357="END"),$I$7,IFERROR(ROUND(VLOOKUP(C357,Notes!$A$14:$B$147,2,FALSE),0),""))</f>
        <v/>
      </c>
      <c r="B357" s="4" t="str">
        <f t="shared" si="12"/>
        <v/>
      </c>
    </row>
    <row r="358" spans="1:2" x14ac:dyDescent="0.25">
      <c r="A358" s="4" t="str">
        <f>IF(OR($C358="END", $D358="END"),$I$7,IFERROR(ROUND(VLOOKUP(C358,Notes!$A$14:$B$147,2,FALSE),0),""))</f>
        <v/>
      </c>
      <c r="B358" s="4" t="str">
        <f t="shared" si="12"/>
        <v/>
      </c>
    </row>
    <row r="359" spans="1:2" x14ac:dyDescent="0.25">
      <c r="A359" s="4" t="str">
        <f>IF(OR($C359="END", $D359="END"),$I$7,IFERROR(ROUND(VLOOKUP(C359,Notes!$A$14:$B$147,2,FALSE),0),""))</f>
        <v/>
      </c>
      <c r="B359" s="4" t="str">
        <f t="shared" si="12"/>
        <v/>
      </c>
    </row>
    <row r="360" spans="1:2" x14ac:dyDescent="0.25">
      <c r="A360" s="4" t="str">
        <f>IF(OR($C360="END", $D360="END"),$I$7,IFERROR(ROUND(VLOOKUP(C360,Notes!$A$14:$B$147,2,FALSE),0),""))</f>
        <v/>
      </c>
      <c r="B360" s="4" t="str">
        <f t="shared" si="12"/>
        <v/>
      </c>
    </row>
    <row r="361" spans="1:2" x14ac:dyDescent="0.25">
      <c r="A361" s="4" t="str">
        <f>IF(OR($C361="END", $D361="END"),$I$7,IFERROR(ROUND(VLOOKUP(C361,Notes!$A$14:$B$147,2,FALSE),0),""))</f>
        <v/>
      </c>
      <c r="B361" s="4" t="str">
        <f t="shared" si="12"/>
        <v/>
      </c>
    </row>
    <row r="362" spans="1:2" x14ac:dyDescent="0.25">
      <c r="A362" s="4" t="str">
        <f>IF(OR($C362="END", $D362="END"),$I$7,IFERROR(ROUND(VLOOKUP(C362,Notes!$A$14:$B$147,2,FALSE),0),""))</f>
        <v/>
      </c>
      <c r="B362" s="4" t="str">
        <f t="shared" si="12"/>
        <v/>
      </c>
    </row>
    <row r="363" spans="1:2" x14ac:dyDescent="0.25">
      <c r="A363" s="4" t="str">
        <f>IF(OR($C363="END", $D363="END"),$I$7,IFERROR(ROUND(VLOOKUP(C363,Notes!$A$14:$B$147,2,FALSE),0),""))</f>
        <v/>
      </c>
      <c r="B363" s="4" t="str">
        <f t="shared" si="12"/>
        <v/>
      </c>
    </row>
    <row r="364" spans="1:2" x14ac:dyDescent="0.25">
      <c r="A364" s="4" t="str">
        <f>IF(OR($C364="END", $D364="END"),$I$7,IFERROR(ROUND(VLOOKUP(C364,Notes!$A$14:$B$147,2,FALSE),0),""))</f>
        <v/>
      </c>
      <c r="B364" s="4" t="str">
        <f t="shared" si="12"/>
        <v/>
      </c>
    </row>
    <row r="365" spans="1:2" x14ac:dyDescent="0.25">
      <c r="A365" s="4" t="str">
        <f>IF(OR($C365="END", $D365="END"),$I$7,IFERROR(ROUND(VLOOKUP(C365,Notes!$A$14:$B$147,2,FALSE),0),""))</f>
        <v/>
      </c>
      <c r="B365" s="4" t="str">
        <f t="shared" si="12"/>
        <v/>
      </c>
    </row>
    <row r="366" spans="1:2" x14ac:dyDescent="0.25">
      <c r="A366" s="4" t="str">
        <f>IF(OR($C366="END", $D366="END"),$I$7,IFERROR(ROUND(VLOOKUP(C366,Notes!$A$14:$B$147,2,FALSE),0),""))</f>
        <v/>
      </c>
      <c r="B366" s="4" t="str">
        <f t="shared" si="12"/>
        <v/>
      </c>
    </row>
    <row r="367" spans="1:2" x14ac:dyDescent="0.25">
      <c r="A367" s="4" t="str">
        <f>IF(OR($C367="END", $D367="END"),$I$7,IFERROR(ROUND(VLOOKUP(C367,Notes!$A$14:$B$147,2,FALSE),0),""))</f>
        <v/>
      </c>
      <c r="B367" s="4" t="str">
        <f t="shared" si="12"/>
        <v/>
      </c>
    </row>
    <row r="368" spans="1:2" x14ac:dyDescent="0.25">
      <c r="A368" s="4" t="str">
        <f>IF(OR($C368="END", $D368="END"),$I$7,IFERROR(ROUND(VLOOKUP(C368,Notes!$A$14:$B$147,2,FALSE),0),""))</f>
        <v/>
      </c>
      <c r="B368" s="4" t="str">
        <f t="shared" si="12"/>
        <v/>
      </c>
    </row>
    <row r="369" spans="1:2" x14ac:dyDescent="0.25">
      <c r="A369" s="4" t="str">
        <f>IF(OR($C369="END", $D369="END"),$I$7,IFERROR(ROUND(VLOOKUP(C369,Notes!$A$14:$B$147,2,FALSE),0),""))</f>
        <v/>
      </c>
      <c r="B369" s="4" t="str">
        <f t="shared" si="12"/>
        <v/>
      </c>
    </row>
    <row r="370" spans="1:2" x14ac:dyDescent="0.25">
      <c r="A370" s="4" t="str">
        <f>IF(OR($C370="END", $D370="END"),$I$7,IFERROR(ROUND(VLOOKUP(C370,Notes!$A$14:$B$147,2,FALSE),0),""))</f>
        <v/>
      </c>
      <c r="B370" s="4" t="str">
        <f t="shared" si="12"/>
        <v/>
      </c>
    </row>
    <row r="371" spans="1:2" x14ac:dyDescent="0.25">
      <c r="A371" s="4" t="str">
        <f>IF(OR($C371="END", $D371="END"),$I$7,IFERROR(ROUND(VLOOKUP(C371,Notes!$A$14:$B$147,2,FALSE),0),""))</f>
        <v/>
      </c>
      <c r="B371" s="4" t="str">
        <f t="shared" si="12"/>
        <v/>
      </c>
    </row>
    <row r="372" spans="1:2" x14ac:dyDescent="0.25">
      <c r="A372" s="4" t="str">
        <f>IF(OR($C372="END", $D372="END"),$I$7,IFERROR(ROUND(VLOOKUP(C372,Notes!$A$14:$B$147,2,FALSE),0),""))</f>
        <v/>
      </c>
      <c r="B372" s="4" t="str">
        <f t="shared" si="12"/>
        <v/>
      </c>
    </row>
    <row r="373" spans="1:2" x14ac:dyDescent="0.25">
      <c r="A373" s="4" t="str">
        <f>IF(OR($C373="END", $D373="END"),$I$7,IFERROR(ROUND(VLOOKUP(C373,Notes!$A$14:$B$147,2,FALSE),0),""))</f>
        <v/>
      </c>
      <c r="B373" s="4" t="str">
        <f t="shared" si="12"/>
        <v/>
      </c>
    </row>
    <row r="374" spans="1:2" x14ac:dyDescent="0.25">
      <c r="A374" s="4" t="str">
        <f>IF(OR($C374="END", $D374="END"),$I$7,IFERROR(ROUND(VLOOKUP(C374,Notes!$A$14:$B$147,2,FALSE),0),""))</f>
        <v/>
      </c>
      <c r="B374" s="4" t="str">
        <f t="shared" si="12"/>
        <v/>
      </c>
    </row>
    <row r="375" spans="1:2" x14ac:dyDescent="0.25">
      <c r="A375" s="4" t="str">
        <f>IF(OR($C375="END", $D375="END"),$I$7,IFERROR(ROUND(VLOOKUP(C375,Notes!$A$14:$B$147,2,FALSE),0),""))</f>
        <v/>
      </c>
      <c r="B375" s="4" t="str">
        <f t="shared" si="12"/>
        <v/>
      </c>
    </row>
    <row r="376" spans="1:2" x14ac:dyDescent="0.25">
      <c r="A376" s="4" t="str">
        <f>IF(OR($C376="END", $D376="END"),$I$7,IFERROR(ROUND(VLOOKUP(C376,Notes!$A$14:$B$147,2,FALSE),0),""))</f>
        <v/>
      </c>
      <c r="B376" s="4" t="str">
        <f t="shared" si="12"/>
        <v/>
      </c>
    </row>
    <row r="377" spans="1:2" x14ac:dyDescent="0.25">
      <c r="A377" s="4" t="str">
        <f>IF(OR($C377="END", $D377="END"),$I$7,IFERROR(ROUND(VLOOKUP(C377,Notes!$A$14:$B$147,2,FALSE),0),""))</f>
        <v/>
      </c>
      <c r="B377" s="4" t="str">
        <f t="shared" si="12"/>
        <v/>
      </c>
    </row>
    <row r="378" spans="1:2" x14ac:dyDescent="0.25">
      <c r="A378" s="4" t="str">
        <f>IF(OR($C378="END", $D378="END"),$I$7,IFERROR(ROUND(VLOOKUP(C378,Notes!$A$14:$B$147,2,FALSE),0),""))</f>
        <v/>
      </c>
      <c r="B378" s="4" t="str">
        <f t="shared" si="12"/>
        <v/>
      </c>
    </row>
    <row r="379" spans="1:2" x14ac:dyDescent="0.25">
      <c r="A379" s="4" t="str">
        <f>IF(OR($C379="END", $D379="END"),$I$7,IFERROR(ROUND(VLOOKUP(C379,Notes!$A$14:$B$147,2,FALSE),0),""))</f>
        <v/>
      </c>
      <c r="B379" s="4" t="str">
        <f t="shared" si="12"/>
        <v/>
      </c>
    </row>
    <row r="380" spans="1:2" x14ac:dyDescent="0.25">
      <c r="A380" s="4" t="str">
        <f>IF(OR($C380="END", $D380="END"),$I$7,IFERROR(ROUND(VLOOKUP(C380,Notes!$A$14:$B$147,2,FALSE),0),""))</f>
        <v/>
      </c>
      <c r="B380" s="4" t="str">
        <f t="shared" si="12"/>
        <v/>
      </c>
    </row>
    <row r="381" spans="1:2" x14ac:dyDescent="0.25">
      <c r="A381" s="4" t="str">
        <f>IF(OR($C381="END", $D381="END"),$I$7,IFERROR(ROUND(VLOOKUP(C381,Notes!$A$14:$B$147,2,FALSE),0),""))</f>
        <v/>
      </c>
      <c r="B381" s="4" t="str">
        <f t="shared" si="12"/>
        <v/>
      </c>
    </row>
    <row r="382" spans="1:2" x14ac:dyDescent="0.25">
      <c r="A382" s="4" t="str">
        <f>IF(OR($C382="END", $D382="END"),$I$7,IFERROR(ROUND(VLOOKUP(C382,Notes!$A$14:$B$147,2,FALSE),0),""))</f>
        <v/>
      </c>
      <c r="B382" s="4" t="str">
        <f t="shared" si="12"/>
        <v/>
      </c>
    </row>
    <row r="383" spans="1:2" x14ac:dyDescent="0.25">
      <c r="A383" s="4" t="str">
        <f>IF(OR($C383="END", $D383="END"),$I$7,IFERROR(ROUND(VLOOKUP(C383,Notes!$A$14:$B$147,2,FALSE),0),""))</f>
        <v/>
      </c>
      <c r="B383" s="4" t="str">
        <f t="shared" si="12"/>
        <v/>
      </c>
    </row>
    <row r="384" spans="1:2" x14ac:dyDescent="0.25">
      <c r="A384" s="4" t="str">
        <f>IF(OR($C384="END", $D384="END"),$I$7,IFERROR(ROUND(VLOOKUP(C384,Notes!$A$14:$B$147,2,FALSE),0),""))</f>
        <v/>
      </c>
      <c r="B384" s="4" t="str">
        <f t="shared" si="12"/>
        <v/>
      </c>
    </row>
    <row r="385" spans="1:2" x14ac:dyDescent="0.25">
      <c r="A385" s="4" t="str">
        <f>IF(OR($C385="END", $D385="END"),$I$7,IFERROR(ROUND(VLOOKUP(C385,Notes!$A$14:$B$147,2,FALSE),0),""))</f>
        <v/>
      </c>
      <c r="B385" s="4" t="str">
        <f t="shared" si="12"/>
        <v/>
      </c>
    </row>
    <row r="386" spans="1:2" x14ac:dyDescent="0.25">
      <c r="A386" s="4" t="str">
        <f>IF(OR($C386="END", $D386="END"),$I$7,IFERROR(ROUND(VLOOKUP(C386,Notes!$A$14:$B$147,2,FALSE),0),""))</f>
        <v/>
      </c>
      <c r="B386" s="4" t="str">
        <f t="shared" si="12"/>
        <v/>
      </c>
    </row>
    <row r="387" spans="1:2" x14ac:dyDescent="0.25">
      <c r="A387" s="4" t="str">
        <f>IF(OR($C387="END", $D387="END"),$I$7,IFERROR(ROUND(VLOOKUP(C387,Notes!$A$14:$B$147,2,FALSE),0),""))</f>
        <v/>
      </c>
      <c r="B387" s="4" t="str">
        <f t="shared" ref="B387:B450" si="13">IF(OR(C387="END", D387="END"),$J$7,IFERROR(ROUND($I$3/D387,0),""))</f>
        <v/>
      </c>
    </row>
    <row r="388" spans="1:2" x14ac:dyDescent="0.25">
      <c r="A388" s="4" t="str">
        <f>IF(OR($C388="END", $D388="END"),$I$7,IFERROR(ROUND(VLOOKUP(C388,Notes!$A$14:$B$147,2,FALSE),0),""))</f>
        <v/>
      </c>
      <c r="B388" s="4" t="str">
        <f t="shared" si="13"/>
        <v/>
      </c>
    </row>
    <row r="389" spans="1:2" x14ac:dyDescent="0.25">
      <c r="A389" s="4" t="str">
        <f>IF(OR($C389="END", $D389="END"),$I$7,IFERROR(ROUND(VLOOKUP(C389,Notes!$A$14:$B$147,2,FALSE),0),""))</f>
        <v/>
      </c>
      <c r="B389" s="4" t="str">
        <f t="shared" si="13"/>
        <v/>
      </c>
    </row>
    <row r="390" spans="1:2" x14ac:dyDescent="0.25">
      <c r="A390" s="4" t="str">
        <f>IF(OR($C390="END", $D390="END"),$I$7,IFERROR(ROUND(VLOOKUP(C390,Notes!$A$14:$B$147,2,FALSE),0),""))</f>
        <v/>
      </c>
      <c r="B390" s="4" t="str">
        <f t="shared" si="13"/>
        <v/>
      </c>
    </row>
    <row r="391" spans="1:2" x14ac:dyDescent="0.25">
      <c r="A391" s="4" t="str">
        <f>IF(OR($C391="END", $D391="END"),$I$7,IFERROR(ROUND(VLOOKUP(C391,Notes!$A$14:$B$147,2,FALSE),0),""))</f>
        <v/>
      </c>
      <c r="B391" s="4" t="str">
        <f t="shared" si="13"/>
        <v/>
      </c>
    </row>
    <row r="392" spans="1:2" x14ac:dyDescent="0.25">
      <c r="A392" s="4" t="str">
        <f>IF(OR($C392="END", $D392="END"),$I$7,IFERROR(ROUND(VLOOKUP(C392,Notes!$A$14:$B$147,2,FALSE),0),""))</f>
        <v/>
      </c>
      <c r="B392" s="4" t="str">
        <f t="shared" si="13"/>
        <v/>
      </c>
    </row>
    <row r="393" spans="1:2" x14ac:dyDescent="0.25">
      <c r="A393" s="4" t="str">
        <f>IF(OR($C393="END", $D393="END"),$I$7,IFERROR(ROUND(VLOOKUP(C393,Notes!$A$14:$B$147,2,FALSE),0),""))</f>
        <v/>
      </c>
      <c r="B393" s="4" t="str">
        <f t="shared" si="13"/>
        <v/>
      </c>
    </row>
    <row r="394" spans="1:2" x14ac:dyDescent="0.25">
      <c r="A394" s="4" t="str">
        <f>IF(OR($C394="END", $D394="END"),$I$7,IFERROR(ROUND(VLOOKUP(C394,Notes!$A$14:$B$147,2,FALSE),0),""))</f>
        <v/>
      </c>
      <c r="B394" s="4" t="str">
        <f t="shared" si="13"/>
        <v/>
      </c>
    </row>
    <row r="395" spans="1:2" x14ac:dyDescent="0.25">
      <c r="A395" s="4" t="str">
        <f>IF(OR($C395="END", $D395="END"),$I$7,IFERROR(ROUND(VLOOKUP(C395,Notes!$A$14:$B$147,2,FALSE),0),""))</f>
        <v/>
      </c>
      <c r="B395" s="4" t="str">
        <f t="shared" si="13"/>
        <v/>
      </c>
    </row>
    <row r="396" spans="1:2" x14ac:dyDescent="0.25">
      <c r="A396" s="4" t="str">
        <f>IF(OR($C396="END", $D396="END"),$I$7,IFERROR(ROUND(VLOOKUP(C396,Notes!$A$14:$B$147,2,FALSE),0),""))</f>
        <v/>
      </c>
      <c r="B396" s="4" t="str">
        <f t="shared" si="13"/>
        <v/>
      </c>
    </row>
    <row r="397" spans="1:2" x14ac:dyDescent="0.25">
      <c r="A397" s="4" t="str">
        <f>IF(OR($C397="END", $D397="END"),$I$7,IFERROR(ROUND(VLOOKUP(C397,Notes!$A$14:$B$147,2,FALSE),0),""))</f>
        <v/>
      </c>
      <c r="B397" s="4" t="str">
        <f t="shared" si="13"/>
        <v/>
      </c>
    </row>
    <row r="398" spans="1:2" x14ac:dyDescent="0.25">
      <c r="A398" s="4" t="str">
        <f>IF(OR($C398="END", $D398="END"),$I$7,IFERROR(ROUND(VLOOKUP(C398,Notes!$A$14:$B$147,2,FALSE),0),""))</f>
        <v/>
      </c>
      <c r="B398" s="4" t="str">
        <f t="shared" si="13"/>
        <v/>
      </c>
    </row>
    <row r="399" spans="1:2" x14ac:dyDescent="0.25">
      <c r="A399" s="4" t="str">
        <f>IF(OR($C399="END", $D399="END"),$I$7,IFERROR(ROUND(VLOOKUP(C399,Notes!$A$14:$B$147,2,FALSE),0),""))</f>
        <v/>
      </c>
      <c r="B399" s="4" t="str">
        <f t="shared" si="13"/>
        <v/>
      </c>
    </row>
    <row r="400" spans="1:2" x14ac:dyDescent="0.25">
      <c r="A400" s="4" t="str">
        <f>IF(OR($C400="END", $D400="END"),$I$7,IFERROR(ROUND(VLOOKUP(C400,Notes!$A$14:$B$147,2,FALSE),0),""))</f>
        <v/>
      </c>
      <c r="B400" s="4" t="str">
        <f t="shared" si="13"/>
        <v/>
      </c>
    </row>
    <row r="401" spans="1:2" x14ac:dyDescent="0.25">
      <c r="A401" s="4" t="str">
        <f>IF(OR($C401="END", $D401="END"),$I$7,IFERROR(ROUND(VLOOKUP(C401,Notes!$A$14:$B$147,2,FALSE),0),""))</f>
        <v/>
      </c>
      <c r="B401" s="4" t="str">
        <f t="shared" si="13"/>
        <v/>
      </c>
    </row>
    <row r="402" spans="1:2" x14ac:dyDescent="0.25">
      <c r="A402" s="4" t="str">
        <f>IF(OR($C402="END", $D402="END"),$I$7,IFERROR(ROUND(VLOOKUP(C402,Notes!$A$14:$B$147,2,FALSE),0),""))</f>
        <v/>
      </c>
      <c r="B402" s="4" t="str">
        <f t="shared" si="13"/>
        <v/>
      </c>
    </row>
    <row r="403" spans="1:2" x14ac:dyDescent="0.25">
      <c r="A403" s="4" t="str">
        <f>IF(OR($C403="END", $D403="END"),$I$7,IFERROR(ROUND(VLOOKUP(C403,Notes!$A$14:$B$147,2,FALSE),0),""))</f>
        <v/>
      </c>
      <c r="B403" s="4" t="str">
        <f t="shared" si="13"/>
        <v/>
      </c>
    </row>
    <row r="404" spans="1:2" x14ac:dyDescent="0.25">
      <c r="A404" s="4" t="str">
        <f>IF(OR($C404="END", $D404="END"),$I$7,IFERROR(ROUND(VLOOKUP(C404,Notes!$A$14:$B$147,2,FALSE),0),""))</f>
        <v/>
      </c>
      <c r="B404" s="4" t="str">
        <f t="shared" si="13"/>
        <v/>
      </c>
    </row>
    <row r="405" spans="1:2" x14ac:dyDescent="0.25">
      <c r="A405" s="4" t="str">
        <f>IF(OR($C405="END", $D405="END"),$I$7,IFERROR(ROUND(VLOOKUP(C405,Notes!$A$14:$B$147,2,FALSE),0),""))</f>
        <v/>
      </c>
      <c r="B405" s="4" t="str">
        <f t="shared" si="13"/>
        <v/>
      </c>
    </row>
    <row r="406" spans="1:2" x14ac:dyDescent="0.25">
      <c r="A406" s="4" t="str">
        <f>IF(OR($C406="END", $D406="END"),$I$7,IFERROR(ROUND(VLOOKUP(C406,Notes!$A$14:$B$147,2,FALSE),0),""))</f>
        <v/>
      </c>
      <c r="B406" s="4" t="str">
        <f t="shared" si="13"/>
        <v/>
      </c>
    </row>
    <row r="407" spans="1:2" x14ac:dyDescent="0.25">
      <c r="A407" s="4" t="str">
        <f>IF(OR($C407="END", $D407="END"),$I$7,IFERROR(ROUND(VLOOKUP(C407,Notes!$A$14:$B$147,2,FALSE),0),""))</f>
        <v/>
      </c>
      <c r="B407" s="4" t="str">
        <f t="shared" si="13"/>
        <v/>
      </c>
    </row>
    <row r="408" spans="1:2" x14ac:dyDescent="0.25">
      <c r="A408" s="4" t="str">
        <f>IF(OR($C408="END", $D408="END"),$I$7,IFERROR(ROUND(VLOOKUP(C408,Notes!$A$14:$B$147,2,FALSE),0),""))</f>
        <v/>
      </c>
      <c r="B408" s="4" t="str">
        <f t="shared" si="13"/>
        <v/>
      </c>
    </row>
    <row r="409" spans="1:2" x14ac:dyDescent="0.25">
      <c r="A409" s="4" t="str">
        <f>IF(OR($C409="END", $D409="END"),$I$7,IFERROR(ROUND(VLOOKUP(C409,Notes!$A$14:$B$147,2,FALSE),0),""))</f>
        <v/>
      </c>
      <c r="B409" s="4" t="str">
        <f t="shared" si="13"/>
        <v/>
      </c>
    </row>
    <row r="410" spans="1:2" x14ac:dyDescent="0.25">
      <c r="A410" s="4" t="str">
        <f>IF(OR($C410="END", $D410="END"),$I$7,IFERROR(ROUND(VLOOKUP(C410,Notes!$A$14:$B$147,2,FALSE),0),""))</f>
        <v/>
      </c>
      <c r="B410" s="4" t="str">
        <f t="shared" si="13"/>
        <v/>
      </c>
    </row>
    <row r="411" spans="1:2" x14ac:dyDescent="0.25">
      <c r="A411" s="4" t="str">
        <f>IF(OR($C411="END", $D411="END"),$I$7,IFERROR(ROUND(VLOOKUP(C411,Notes!$A$14:$B$147,2,FALSE),0),""))</f>
        <v/>
      </c>
      <c r="B411" s="4" t="str">
        <f t="shared" si="13"/>
        <v/>
      </c>
    </row>
    <row r="412" spans="1:2" x14ac:dyDescent="0.25">
      <c r="A412" s="4" t="str">
        <f>IF(OR($C412="END", $D412="END"),$I$7,IFERROR(ROUND(VLOOKUP(C412,Notes!$A$14:$B$147,2,FALSE),0),""))</f>
        <v/>
      </c>
      <c r="B412" s="4" t="str">
        <f t="shared" si="13"/>
        <v/>
      </c>
    </row>
    <row r="413" spans="1:2" x14ac:dyDescent="0.25">
      <c r="A413" s="4" t="str">
        <f>IF(OR($C413="END", $D413="END"),$I$7,IFERROR(ROUND(VLOOKUP(C413,Notes!$A$14:$B$147,2,FALSE),0),""))</f>
        <v/>
      </c>
      <c r="B413" s="4" t="str">
        <f t="shared" si="13"/>
        <v/>
      </c>
    </row>
    <row r="414" spans="1:2" x14ac:dyDescent="0.25">
      <c r="A414" s="4" t="str">
        <f>IF(OR($C414="END", $D414="END"),$I$7,IFERROR(ROUND(VLOOKUP(C414,Notes!$A$14:$B$147,2,FALSE),0),""))</f>
        <v/>
      </c>
      <c r="B414" s="4" t="str">
        <f t="shared" si="13"/>
        <v/>
      </c>
    </row>
    <row r="415" spans="1:2" x14ac:dyDescent="0.25">
      <c r="A415" s="4" t="str">
        <f>IF(OR($C415="END", $D415="END"),$I$7,IFERROR(ROUND(VLOOKUP(C415,Notes!$A$14:$B$147,2,FALSE),0),""))</f>
        <v/>
      </c>
      <c r="B415" s="4" t="str">
        <f t="shared" si="13"/>
        <v/>
      </c>
    </row>
    <row r="416" spans="1:2" x14ac:dyDescent="0.25">
      <c r="A416" s="4" t="str">
        <f>IF(OR($C416="END", $D416="END"),$I$7,IFERROR(ROUND(VLOOKUP(C416,Notes!$A$14:$B$147,2,FALSE),0),""))</f>
        <v/>
      </c>
      <c r="B416" s="4" t="str">
        <f t="shared" si="13"/>
        <v/>
      </c>
    </row>
    <row r="417" spans="1:2" x14ac:dyDescent="0.25">
      <c r="A417" s="4" t="str">
        <f>IF(OR($C417="END", $D417="END"),$I$7,IFERROR(ROUND(VLOOKUP(C417,Notes!$A$14:$B$147,2,FALSE),0),""))</f>
        <v/>
      </c>
      <c r="B417" s="4" t="str">
        <f t="shared" si="13"/>
        <v/>
      </c>
    </row>
    <row r="418" spans="1:2" x14ac:dyDescent="0.25">
      <c r="A418" s="4" t="str">
        <f>IF(OR($C418="END", $D418="END"),$I$7,IFERROR(ROUND(VLOOKUP(C418,Notes!$A$14:$B$147,2,FALSE),0),""))</f>
        <v/>
      </c>
      <c r="B418" s="4" t="str">
        <f t="shared" si="13"/>
        <v/>
      </c>
    </row>
    <row r="419" spans="1:2" x14ac:dyDescent="0.25">
      <c r="A419" s="4" t="str">
        <f>IF(OR($C419="END", $D419="END"),$I$7,IFERROR(ROUND(VLOOKUP(C419,Notes!$A$14:$B$147,2,FALSE),0),""))</f>
        <v/>
      </c>
      <c r="B419" s="4" t="str">
        <f t="shared" si="13"/>
        <v/>
      </c>
    </row>
    <row r="420" spans="1:2" x14ac:dyDescent="0.25">
      <c r="A420" s="4" t="str">
        <f>IF(OR($C420="END", $D420="END"),$I$7,IFERROR(ROUND(VLOOKUP(C420,Notes!$A$14:$B$147,2,FALSE),0),""))</f>
        <v/>
      </c>
      <c r="B420" s="4" t="str">
        <f t="shared" si="13"/>
        <v/>
      </c>
    </row>
    <row r="421" spans="1:2" x14ac:dyDescent="0.25">
      <c r="A421" s="4" t="str">
        <f>IF(OR($C421="END", $D421="END"),$I$7,IFERROR(ROUND(VLOOKUP(C421,Notes!$A$14:$B$147,2,FALSE),0),""))</f>
        <v/>
      </c>
      <c r="B421" s="4" t="str">
        <f t="shared" si="13"/>
        <v/>
      </c>
    </row>
    <row r="422" spans="1:2" x14ac:dyDescent="0.25">
      <c r="A422" s="4" t="str">
        <f>IF(OR($C422="END", $D422="END"),$I$7,IFERROR(ROUND(VLOOKUP(C422,Notes!$A$14:$B$147,2,FALSE),0),""))</f>
        <v/>
      </c>
      <c r="B422" s="4" t="str">
        <f t="shared" si="13"/>
        <v/>
      </c>
    </row>
    <row r="423" spans="1:2" x14ac:dyDescent="0.25">
      <c r="A423" s="4" t="str">
        <f>IF(OR($C423="END", $D423="END"),$I$7,IFERROR(ROUND(VLOOKUP(C423,Notes!$A$14:$B$147,2,FALSE),0),""))</f>
        <v/>
      </c>
      <c r="B423" s="4" t="str">
        <f t="shared" si="13"/>
        <v/>
      </c>
    </row>
    <row r="424" spans="1:2" x14ac:dyDescent="0.25">
      <c r="A424" s="4" t="str">
        <f>IF(OR($C424="END", $D424="END"),$I$7,IFERROR(ROUND(VLOOKUP(C424,Notes!$A$14:$B$147,2,FALSE),0),""))</f>
        <v/>
      </c>
      <c r="B424" s="4" t="str">
        <f t="shared" si="13"/>
        <v/>
      </c>
    </row>
    <row r="425" spans="1:2" x14ac:dyDescent="0.25">
      <c r="A425" s="4" t="str">
        <f>IF(OR($C425="END", $D425="END"),$I$7,IFERROR(ROUND(VLOOKUP(C425,Notes!$A$14:$B$147,2,FALSE),0),""))</f>
        <v/>
      </c>
      <c r="B425" s="4" t="str">
        <f t="shared" si="13"/>
        <v/>
      </c>
    </row>
    <row r="426" spans="1:2" x14ac:dyDescent="0.25">
      <c r="A426" s="4" t="str">
        <f>IF(OR($C426="END", $D426="END"),$I$7,IFERROR(ROUND(VLOOKUP(C426,Notes!$A$14:$B$147,2,FALSE),0),""))</f>
        <v/>
      </c>
      <c r="B426" s="4" t="str">
        <f t="shared" si="13"/>
        <v/>
      </c>
    </row>
    <row r="427" spans="1:2" x14ac:dyDescent="0.25">
      <c r="A427" s="4" t="str">
        <f>IF(OR($C427="END", $D427="END"),$I$7,IFERROR(ROUND(VLOOKUP(C427,Notes!$A$14:$B$147,2,FALSE),0),""))</f>
        <v/>
      </c>
      <c r="B427" s="4" t="str">
        <f t="shared" si="13"/>
        <v/>
      </c>
    </row>
    <row r="428" spans="1:2" x14ac:dyDescent="0.25">
      <c r="A428" s="4" t="str">
        <f>IF(OR($C428="END", $D428="END"),$I$7,IFERROR(ROUND(VLOOKUP(C428,Notes!$A$14:$B$147,2,FALSE),0),""))</f>
        <v/>
      </c>
      <c r="B428" s="4" t="str">
        <f t="shared" si="13"/>
        <v/>
      </c>
    </row>
    <row r="429" spans="1:2" x14ac:dyDescent="0.25">
      <c r="A429" s="4" t="str">
        <f>IF(OR($C429="END", $D429="END"),$I$7,IFERROR(ROUND(VLOOKUP(C429,Notes!$A$14:$B$147,2,FALSE),0),""))</f>
        <v/>
      </c>
      <c r="B429" s="4" t="str">
        <f t="shared" si="13"/>
        <v/>
      </c>
    </row>
    <row r="430" spans="1:2" x14ac:dyDescent="0.25">
      <c r="A430" s="4" t="str">
        <f>IF(OR($C430="END", $D430="END"),$I$7,IFERROR(ROUND(VLOOKUP(C430,Notes!$A$14:$B$147,2,FALSE),0),""))</f>
        <v/>
      </c>
      <c r="B430" s="4" t="str">
        <f t="shared" si="13"/>
        <v/>
      </c>
    </row>
    <row r="431" spans="1:2" x14ac:dyDescent="0.25">
      <c r="A431" s="4" t="str">
        <f>IF(OR($C431="END", $D431="END"),$I$7,IFERROR(ROUND(VLOOKUP(C431,Notes!$A$14:$B$147,2,FALSE),0),""))</f>
        <v/>
      </c>
      <c r="B431" s="4" t="str">
        <f t="shared" si="13"/>
        <v/>
      </c>
    </row>
    <row r="432" spans="1:2" x14ac:dyDescent="0.25">
      <c r="A432" s="4" t="str">
        <f>IF(OR($C432="END", $D432="END"),$I$7,IFERROR(ROUND(VLOOKUP(C432,Notes!$A$14:$B$147,2,FALSE),0),""))</f>
        <v/>
      </c>
      <c r="B432" s="4" t="str">
        <f t="shared" si="13"/>
        <v/>
      </c>
    </row>
    <row r="433" spans="1:2" x14ac:dyDescent="0.25">
      <c r="A433" s="4" t="str">
        <f>IF(OR($C433="END", $D433="END"),$I$7,IFERROR(ROUND(VLOOKUP(C433,Notes!$A$14:$B$147,2,FALSE),0),""))</f>
        <v/>
      </c>
      <c r="B433" s="4" t="str">
        <f t="shared" si="13"/>
        <v/>
      </c>
    </row>
    <row r="434" spans="1:2" x14ac:dyDescent="0.25">
      <c r="A434" s="4" t="str">
        <f>IF(OR($C434="END", $D434="END"),$I$7,IFERROR(ROUND(VLOOKUP(C434,Notes!$A$14:$B$147,2,FALSE),0),""))</f>
        <v/>
      </c>
      <c r="B434" s="4" t="str">
        <f t="shared" si="13"/>
        <v/>
      </c>
    </row>
    <row r="435" spans="1:2" x14ac:dyDescent="0.25">
      <c r="A435" s="4" t="str">
        <f>IF(OR($C435="END", $D435="END"),$I$7,IFERROR(ROUND(VLOOKUP(C435,Notes!$A$14:$B$147,2,FALSE),0),""))</f>
        <v/>
      </c>
      <c r="B435" s="4" t="str">
        <f t="shared" si="13"/>
        <v/>
      </c>
    </row>
    <row r="436" spans="1:2" x14ac:dyDescent="0.25">
      <c r="A436" s="4" t="str">
        <f>IF(OR($C436="END", $D436="END"),$I$7,IFERROR(ROUND(VLOOKUP(C436,Notes!$A$14:$B$147,2,FALSE),0),""))</f>
        <v/>
      </c>
      <c r="B436" s="4" t="str">
        <f t="shared" si="13"/>
        <v/>
      </c>
    </row>
    <row r="437" spans="1:2" x14ac:dyDescent="0.25">
      <c r="A437" s="4" t="str">
        <f>IF(OR($C437="END", $D437="END"),$I$7,IFERROR(ROUND(VLOOKUP(C437,Notes!$A$14:$B$147,2,FALSE),0),""))</f>
        <v/>
      </c>
      <c r="B437" s="4" t="str">
        <f t="shared" si="13"/>
        <v/>
      </c>
    </row>
    <row r="438" spans="1:2" x14ac:dyDescent="0.25">
      <c r="A438" s="4" t="str">
        <f>IF(OR($C438="END", $D438="END"),$I$7,IFERROR(ROUND(VLOOKUP(C438,Notes!$A$14:$B$147,2,FALSE),0),""))</f>
        <v/>
      </c>
      <c r="B438" s="4" t="str">
        <f t="shared" si="13"/>
        <v/>
      </c>
    </row>
    <row r="439" spans="1:2" x14ac:dyDescent="0.25">
      <c r="A439" s="4" t="str">
        <f>IF(OR($C439="END", $D439="END"),$I$7,IFERROR(ROUND(VLOOKUP(C439,Notes!$A$14:$B$147,2,FALSE),0),""))</f>
        <v/>
      </c>
      <c r="B439" s="4" t="str">
        <f t="shared" si="13"/>
        <v/>
      </c>
    </row>
    <row r="440" spans="1:2" x14ac:dyDescent="0.25">
      <c r="A440" s="4" t="str">
        <f>IF(OR($C440="END", $D440="END"),$I$7,IFERROR(ROUND(VLOOKUP(C440,Notes!$A$14:$B$147,2,FALSE),0),""))</f>
        <v/>
      </c>
      <c r="B440" s="4" t="str">
        <f t="shared" si="13"/>
        <v/>
      </c>
    </row>
    <row r="441" spans="1:2" x14ac:dyDescent="0.25">
      <c r="A441" s="4" t="str">
        <f>IF(OR($C441="END", $D441="END"),$I$7,IFERROR(ROUND(VLOOKUP(C441,Notes!$A$14:$B$147,2,FALSE),0),""))</f>
        <v/>
      </c>
      <c r="B441" s="4" t="str">
        <f t="shared" si="13"/>
        <v/>
      </c>
    </row>
    <row r="442" spans="1:2" x14ac:dyDescent="0.25">
      <c r="A442" s="4" t="str">
        <f>IF(OR($C442="END", $D442="END"),$I$7,IFERROR(ROUND(VLOOKUP(C442,Notes!$A$14:$B$147,2,FALSE),0),""))</f>
        <v/>
      </c>
      <c r="B442" s="4" t="str">
        <f t="shared" si="13"/>
        <v/>
      </c>
    </row>
    <row r="443" spans="1:2" x14ac:dyDescent="0.25">
      <c r="A443" s="4" t="str">
        <f>IF(OR($C443="END", $D443="END"),$I$7,IFERROR(ROUND(VLOOKUP(C443,Notes!$A$14:$B$147,2,FALSE),0),""))</f>
        <v/>
      </c>
      <c r="B443" s="4" t="str">
        <f t="shared" si="13"/>
        <v/>
      </c>
    </row>
    <row r="444" spans="1:2" x14ac:dyDescent="0.25">
      <c r="A444" s="4" t="str">
        <f>IF(OR($C444="END", $D444="END"),$I$7,IFERROR(ROUND(VLOOKUP(C444,Notes!$A$14:$B$147,2,FALSE),0),""))</f>
        <v/>
      </c>
      <c r="B444" s="4" t="str">
        <f t="shared" si="13"/>
        <v/>
      </c>
    </row>
    <row r="445" spans="1:2" x14ac:dyDescent="0.25">
      <c r="A445" s="4" t="str">
        <f>IF(OR($C445="END", $D445="END"),$I$7,IFERROR(ROUND(VLOOKUP(C445,Notes!$A$14:$B$147,2,FALSE),0),""))</f>
        <v/>
      </c>
      <c r="B445" s="4" t="str">
        <f t="shared" si="13"/>
        <v/>
      </c>
    </row>
    <row r="446" spans="1:2" x14ac:dyDescent="0.25">
      <c r="A446" s="4" t="str">
        <f>IF(OR($C446="END", $D446="END"),$I$7,IFERROR(ROUND(VLOOKUP(C446,Notes!$A$14:$B$147,2,FALSE),0),""))</f>
        <v/>
      </c>
      <c r="B446" s="4" t="str">
        <f t="shared" si="13"/>
        <v/>
      </c>
    </row>
    <row r="447" spans="1:2" x14ac:dyDescent="0.25">
      <c r="A447" s="4" t="str">
        <f>IF(OR($C447="END", $D447="END"),$I$7,IFERROR(ROUND(VLOOKUP(C447,Notes!$A$14:$B$147,2,FALSE),0),""))</f>
        <v/>
      </c>
      <c r="B447" s="4" t="str">
        <f t="shared" si="13"/>
        <v/>
      </c>
    </row>
    <row r="448" spans="1:2" x14ac:dyDescent="0.25">
      <c r="A448" s="4" t="str">
        <f>IF(OR($C448="END", $D448="END"),$I$7,IFERROR(ROUND(VLOOKUP(C448,Notes!$A$14:$B$147,2,FALSE),0),""))</f>
        <v/>
      </c>
      <c r="B448" s="4" t="str">
        <f t="shared" si="13"/>
        <v/>
      </c>
    </row>
    <row r="449" spans="1:2" x14ac:dyDescent="0.25">
      <c r="A449" s="4" t="str">
        <f>IF(OR($C449="END", $D449="END"),$I$7,IFERROR(ROUND(VLOOKUP(C449,Notes!$A$14:$B$147,2,FALSE),0),""))</f>
        <v/>
      </c>
      <c r="B449" s="4" t="str">
        <f t="shared" si="13"/>
        <v/>
      </c>
    </row>
    <row r="450" spans="1:2" x14ac:dyDescent="0.25">
      <c r="A450" s="4" t="str">
        <f>IF(OR($C450="END", $D450="END"),$I$7,IFERROR(ROUND(VLOOKUP(C450,Notes!$A$14:$B$147,2,FALSE),0),""))</f>
        <v/>
      </c>
      <c r="B450" s="4" t="str">
        <f t="shared" si="13"/>
        <v/>
      </c>
    </row>
    <row r="451" spans="1:2" x14ac:dyDescent="0.25">
      <c r="A451" s="4" t="str">
        <f>IF(OR($C451="END", $D451="END"),$I$7,IFERROR(ROUND(VLOOKUP(C451,Notes!$A$14:$B$147,2,FALSE),0),""))</f>
        <v/>
      </c>
      <c r="B451" s="4" t="str">
        <f t="shared" ref="B451:B475" si="14">IF(OR(C451="END", D451="END"),$J$7,IFERROR(ROUND($I$3/D451,0),""))</f>
        <v/>
      </c>
    </row>
    <row r="452" spans="1:2" x14ac:dyDescent="0.25">
      <c r="A452" s="4" t="str">
        <f>IF(OR($C452="END", $D452="END"),$I$7,IFERROR(ROUND(VLOOKUP(C452,Notes!$A$14:$B$147,2,FALSE),0),""))</f>
        <v/>
      </c>
      <c r="B452" s="4" t="str">
        <f t="shared" si="14"/>
        <v/>
      </c>
    </row>
    <row r="453" spans="1:2" x14ac:dyDescent="0.25">
      <c r="A453" s="4" t="str">
        <f>IF(OR($C453="END", $D453="END"),$I$7,IFERROR(ROUND(VLOOKUP(C453,Notes!$A$14:$B$147,2,FALSE),0),""))</f>
        <v/>
      </c>
      <c r="B453" s="4" t="str">
        <f t="shared" si="14"/>
        <v/>
      </c>
    </row>
    <row r="454" spans="1:2" x14ac:dyDescent="0.25">
      <c r="A454" s="4" t="str">
        <f>IF(OR($C454="END", $D454="END"),$I$7,IFERROR(ROUND(VLOOKUP(C454,Notes!$A$14:$B$147,2,FALSE),0),""))</f>
        <v/>
      </c>
      <c r="B454" s="4" t="str">
        <f t="shared" si="14"/>
        <v/>
      </c>
    </row>
    <row r="455" spans="1:2" x14ac:dyDescent="0.25">
      <c r="A455" s="4" t="str">
        <f>IF(OR($C455="END", $D455="END"),$I$7,IFERROR(ROUND(VLOOKUP(C455,Notes!$A$14:$B$147,2,FALSE),0),""))</f>
        <v/>
      </c>
      <c r="B455" s="4" t="str">
        <f t="shared" si="14"/>
        <v/>
      </c>
    </row>
    <row r="456" spans="1:2" x14ac:dyDescent="0.25">
      <c r="A456" s="4" t="str">
        <f>IF(OR($C456="END", $D456="END"),$I$7,IFERROR(ROUND(VLOOKUP(C456,Notes!$A$14:$B$147,2,FALSE),0),""))</f>
        <v/>
      </c>
      <c r="B456" s="4" t="str">
        <f t="shared" si="14"/>
        <v/>
      </c>
    </row>
    <row r="457" spans="1:2" x14ac:dyDescent="0.25">
      <c r="A457" s="4" t="str">
        <f>IF(OR($C457="END", $D457="END"),$I$7,IFERROR(ROUND(VLOOKUP(C457,Notes!$A$14:$B$147,2,FALSE),0),""))</f>
        <v/>
      </c>
      <c r="B457" s="4" t="str">
        <f t="shared" si="14"/>
        <v/>
      </c>
    </row>
    <row r="458" spans="1:2" x14ac:dyDescent="0.25">
      <c r="A458" s="4" t="str">
        <f>IF(OR($C458="END", $D458="END"),$I$7,IFERROR(ROUND(VLOOKUP(C458,Notes!$A$14:$B$147,2,FALSE),0),""))</f>
        <v/>
      </c>
      <c r="B458" s="4" t="str">
        <f t="shared" si="14"/>
        <v/>
      </c>
    </row>
    <row r="459" spans="1:2" x14ac:dyDescent="0.25">
      <c r="A459" s="4" t="str">
        <f>IF(OR($C459="END", $D459="END"),$I$7,IFERROR(ROUND(VLOOKUP(C459,Notes!$A$14:$B$147,2,FALSE),0),""))</f>
        <v/>
      </c>
      <c r="B459" s="4" t="str">
        <f t="shared" si="14"/>
        <v/>
      </c>
    </row>
    <row r="460" spans="1:2" x14ac:dyDescent="0.25">
      <c r="A460" s="4" t="str">
        <f>IF(OR($C460="END", $D460="END"),$I$7,IFERROR(ROUND(VLOOKUP(C460,Notes!$A$14:$B$147,2,FALSE),0),""))</f>
        <v/>
      </c>
      <c r="B460" s="4" t="str">
        <f t="shared" si="14"/>
        <v/>
      </c>
    </row>
    <row r="461" spans="1:2" x14ac:dyDescent="0.25">
      <c r="A461" s="4" t="str">
        <f>IF(OR($C461="END", $D461="END"),$I$7,IFERROR(ROUND(VLOOKUP(C461,Notes!$A$14:$B$147,2,FALSE),0),""))</f>
        <v/>
      </c>
      <c r="B461" s="4" t="str">
        <f t="shared" si="14"/>
        <v/>
      </c>
    </row>
    <row r="462" spans="1:2" x14ac:dyDescent="0.25">
      <c r="A462" s="4" t="str">
        <f>IF(OR($C462="END", $D462="END"),$I$7,IFERROR(ROUND(VLOOKUP(C462,Notes!$A$14:$B$147,2,FALSE),0),""))</f>
        <v/>
      </c>
      <c r="B462" s="4" t="str">
        <f t="shared" si="14"/>
        <v/>
      </c>
    </row>
    <row r="463" spans="1:2" x14ac:dyDescent="0.25">
      <c r="A463" s="4" t="str">
        <f>IF(OR($C463="END", $D463="END"),$I$7,IFERROR(ROUND(VLOOKUP(C463,Notes!$A$14:$B$147,2,FALSE),0),""))</f>
        <v/>
      </c>
      <c r="B463" s="4" t="str">
        <f t="shared" si="14"/>
        <v/>
      </c>
    </row>
    <row r="464" spans="1:2" x14ac:dyDescent="0.25">
      <c r="A464" s="4" t="str">
        <f>IF(OR($C464="END", $D464="END"),$I$7,IFERROR(ROUND(VLOOKUP(C464,Notes!$A$14:$B$147,2,FALSE),0),""))</f>
        <v/>
      </c>
      <c r="B464" s="4" t="str">
        <f t="shared" si="14"/>
        <v/>
      </c>
    </row>
    <row r="465" spans="1:2" x14ac:dyDescent="0.25">
      <c r="A465" s="4" t="str">
        <f>IF(OR($C465="END", $D465="END"),$I$7,IFERROR(ROUND(VLOOKUP(C465,Notes!$A$14:$B$147,2,FALSE),0),""))</f>
        <v/>
      </c>
      <c r="B465" s="4" t="str">
        <f t="shared" si="14"/>
        <v/>
      </c>
    </row>
    <row r="466" spans="1:2" x14ac:dyDescent="0.25">
      <c r="A466" s="4" t="str">
        <f>IF(OR($C466="END", $D466="END"),$I$7,IFERROR(ROUND(VLOOKUP(C466,Notes!$A$14:$B$147,2,FALSE),0),""))</f>
        <v/>
      </c>
      <c r="B466" s="4" t="str">
        <f t="shared" si="14"/>
        <v/>
      </c>
    </row>
    <row r="467" spans="1:2" x14ac:dyDescent="0.25">
      <c r="A467" s="4" t="str">
        <f>IF(OR($C467="END", $D467="END"),$I$7,IFERROR(ROUND(VLOOKUP(C467,Notes!$A$14:$B$147,2,FALSE),0),""))</f>
        <v/>
      </c>
      <c r="B467" s="4" t="str">
        <f t="shared" si="14"/>
        <v/>
      </c>
    </row>
    <row r="468" spans="1:2" x14ac:dyDescent="0.25">
      <c r="A468" s="4" t="str">
        <f>IF(OR($C468="END", $D468="END"),$I$7,IFERROR(ROUND(VLOOKUP(C468,Notes!$A$14:$B$147,2,FALSE),0),""))</f>
        <v/>
      </c>
      <c r="B468" s="4" t="str">
        <f t="shared" si="14"/>
        <v/>
      </c>
    </row>
    <row r="469" spans="1:2" x14ac:dyDescent="0.25">
      <c r="A469" s="4" t="str">
        <f>IF(OR($C469="END", $D469="END"),$I$7,IFERROR(ROUND(VLOOKUP(C469,Notes!$A$14:$B$147,2,FALSE),0),""))</f>
        <v/>
      </c>
      <c r="B469" s="4" t="str">
        <f t="shared" si="14"/>
        <v/>
      </c>
    </row>
    <row r="470" spans="1:2" x14ac:dyDescent="0.25">
      <c r="A470" s="4" t="str">
        <f>IF(OR($C470="END", $D470="END"),$I$7,IFERROR(ROUND(VLOOKUP(C470,Notes!$A$14:$B$147,2,FALSE),0),""))</f>
        <v/>
      </c>
      <c r="B470" s="4" t="str">
        <f t="shared" si="14"/>
        <v/>
      </c>
    </row>
    <row r="471" spans="1:2" x14ac:dyDescent="0.25">
      <c r="A471" s="4" t="str">
        <f>IF(OR($C471="END", $D471="END"),$I$7,IFERROR(ROUND(VLOOKUP(C471,Notes!$A$14:$B$147,2,FALSE),0),""))</f>
        <v/>
      </c>
      <c r="B471" s="4" t="str">
        <f t="shared" si="14"/>
        <v/>
      </c>
    </row>
    <row r="472" spans="1:2" x14ac:dyDescent="0.25">
      <c r="A472" s="4" t="str">
        <f>IF(OR($C472="END", $D472="END"),$I$7,IFERROR(ROUND(VLOOKUP(C472,Notes!$A$14:$B$147,2,FALSE),0),""))</f>
        <v/>
      </c>
      <c r="B472" s="4" t="str">
        <f t="shared" si="14"/>
        <v/>
      </c>
    </row>
    <row r="473" spans="1:2" x14ac:dyDescent="0.25">
      <c r="A473" s="4" t="str">
        <f>IF(OR($C473="END", $D473="END"),$I$7,IFERROR(ROUND(VLOOKUP(C473,Notes!$A$14:$B$147,2,FALSE),0),""))</f>
        <v/>
      </c>
      <c r="B473" s="4" t="str">
        <f t="shared" si="14"/>
        <v/>
      </c>
    </row>
    <row r="474" spans="1:2" x14ac:dyDescent="0.25">
      <c r="A474" s="4" t="str">
        <f>IF(OR($C474="END", $D474="END"),$I$7,IFERROR(ROUND(VLOOKUP(C474,Notes!$A$14:$B$147,2,FALSE),0),""))</f>
        <v/>
      </c>
      <c r="B474" s="4" t="str">
        <f t="shared" si="14"/>
        <v/>
      </c>
    </row>
    <row r="475" spans="1:2" x14ac:dyDescent="0.25">
      <c r="A475" s="4" t="str">
        <f>IF(OR($C475="END", $D475="END"),$I$7,IFERROR(ROUND(VLOOKUP(C475,Notes!$A$14:$B$147,2,FALSE),0),""))</f>
        <v/>
      </c>
      <c r="B475" s="4" t="str">
        <f t="shared" si="14"/>
        <v/>
      </c>
    </row>
  </sheetData>
  <mergeCells count="1">
    <mergeCell ref="H1:J1"/>
  </mergeCells>
  <phoneticPr fontId="3" type="noConversion"/>
  <conditionalFormatting sqref="C2:D5 C7:D7 C16:D24 C48:D475">
    <cfRule type="cellIs" dxfId="11" priority="12" operator="equal">
      <formula>"END"</formula>
    </cfRule>
  </conditionalFormatting>
  <conditionalFormatting sqref="C6:D6">
    <cfRule type="cellIs" dxfId="10" priority="11" operator="equal">
      <formula>"END"</formula>
    </cfRule>
  </conditionalFormatting>
  <conditionalFormatting sqref="C8:D11 C13:D13">
    <cfRule type="cellIs" dxfId="9" priority="10" operator="equal">
      <formula>"END"</formula>
    </cfRule>
  </conditionalFormatting>
  <conditionalFormatting sqref="C12:D12">
    <cfRule type="cellIs" dxfId="8" priority="9" operator="equal">
      <formula>"END"</formula>
    </cfRule>
  </conditionalFormatting>
  <conditionalFormatting sqref="C14:D14">
    <cfRule type="cellIs" dxfId="7" priority="8" operator="equal">
      <formula>"END"</formula>
    </cfRule>
  </conditionalFormatting>
  <conditionalFormatting sqref="C15:D15">
    <cfRule type="cellIs" dxfId="6" priority="7" operator="equal">
      <formula>"END"</formula>
    </cfRule>
  </conditionalFormatting>
  <conditionalFormatting sqref="C25:D28 C30:D30 C39:D47">
    <cfRule type="cellIs" dxfId="5" priority="6" operator="equal">
      <formula>"END"</formula>
    </cfRule>
  </conditionalFormatting>
  <conditionalFormatting sqref="C29:D29">
    <cfRule type="cellIs" dxfId="4" priority="5" operator="equal">
      <formula>"END"</formula>
    </cfRule>
  </conditionalFormatting>
  <conditionalFormatting sqref="C31:D34 C36:D36">
    <cfRule type="cellIs" dxfId="3" priority="4" operator="equal">
      <formula>"END"</formula>
    </cfRule>
  </conditionalFormatting>
  <conditionalFormatting sqref="C35:D35">
    <cfRule type="cellIs" dxfId="2" priority="3" operator="equal">
      <formula>"END"</formula>
    </cfRule>
  </conditionalFormatting>
  <conditionalFormatting sqref="C37:D37">
    <cfRule type="cellIs" dxfId="1" priority="2" operator="equal">
      <formula>"END"</formula>
    </cfRule>
  </conditionalFormatting>
  <conditionalFormatting sqref="C38:D38">
    <cfRule type="cellIs" dxfId="0" priority="1" operator="equal">
      <formula>"END"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ySong">
                <anchor moveWithCells="1">
                  <from>
                    <xdr:col>7</xdr:col>
                    <xdr:colOff>95250</xdr:colOff>
                    <xdr:row>7</xdr:row>
                    <xdr:rowOff>66675</xdr:rowOff>
                  </from>
                  <to>
                    <xdr:col>7</xdr:col>
                    <xdr:colOff>1238250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F636-7C9F-4402-BB82-99E21885B017}">
  <sheetPr codeName="Sheet3"/>
  <dimension ref="A1:A475"/>
  <sheetViews>
    <sheetView workbookViewId="0"/>
  </sheetViews>
  <sheetFormatPr defaultRowHeight="15" x14ac:dyDescent="0.25"/>
  <cols>
    <col min="1" max="1" width="37.7109375" bestFit="1" customWidth="1"/>
  </cols>
  <sheetData>
    <row r="1" spans="1:1" x14ac:dyDescent="0.25">
      <c r="A1" s="9" t="e">
        <f>_xlfn.TEXTJOIN("",TRUE,"struct { int freq; int duration; } ",Music!$I$6,"[] = {",A2:$A$475,"};")</f>
        <v>#REF!</v>
      </c>
    </row>
    <row r="2" spans="1:1" x14ac:dyDescent="0.25">
      <c r="A2" t="str">
        <f>IF(OR(TRIM(Music!A2)="", TRIM(Music!B2)=""),"","{ .freq="&amp;Music!A2&amp;", .duration="&amp;Music!B2&amp;"},")</f>
        <v>{ .freq=196, .duration=333},</v>
      </c>
    </row>
    <row r="3" spans="1:1" x14ac:dyDescent="0.25">
      <c r="A3" t="str">
        <f>IF(OR(TRIM(Music!A3)="", TRIM(Music!B3)=""),"","{ .freq="&amp;Music!A3&amp;", .duration="&amp;Music!B3&amp;"},")</f>
        <v>{ .freq=196, .duration=333},</v>
      </c>
    </row>
    <row r="4" spans="1:1" x14ac:dyDescent="0.25">
      <c r="A4" t="str">
        <f>IF(OR(TRIM(Music!A4)="", TRIM(Music!B4)=""),"","{ .freq="&amp;Music!A4&amp;", .duration="&amp;Music!B4&amp;"},")</f>
        <v>{ .freq=330, .duration=333},</v>
      </c>
    </row>
    <row r="5" spans="1:1" x14ac:dyDescent="0.25">
      <c r="A5" t="str">
        <f>IF(OR(TRIM(Music!A5)="", TRIM(Music!B5)=""),"","{ .freq="&amp;Music!A5&amp;", .duration="&amp;Music!B5&amp;"},")</f>
        <v>{ .freq=294, .duration=333},</v>
      </c>
    </row>
    <row r="6" spans="1:1" x14ac:dyDescent="0.25">
      <c r="A6" t="str">
        <f>IF(OR(TRIM(Music!A6)="", TRIM(Music!B6)=""),"","{ .freq="&amp;Music!A6&amp;", .duration="&amp;Music!B6&amp;"},")</f>
        <v>{ .freq=262, .duration=333},</v>
      </c>
    </row>
    <row r="7" spans="1:1" x14ac:dyDescent="0.25">
      <c r="A7" t="str">
        <f>IF(OR(TRIM(Music!A7)="", TRIM(Music!B7)=""),"","{ .freq="&amp;Music!A7&amp;", .duration="&amp;Music!B7&amp;"},")</f>
        <v>{ .freq=196, .duration=1000},</v>
      </c>
    </row>
    <row r="8" spans="1:1" x14ac:dyDescent="0.25">
      <c r="A8" t="str">
        <f>IF(OR(TRIM(Music!A8)="", TRIM(Music!B8)=""),"","{ .freq="&amp;Music!A8&amp;", .duration="&amp;Music!B8&amp;"},")</f>
        <v>{ .freq=196, .duration=333},</v>
      </c>
    </row>
    <row r="9" spans="1:1" x14ac:dyDescent="0.25">
      <c r="A9" t="str">
        <f>IF(OR(TRIM(Music!A9)="", TRIM(Music!B9)=""),"","{ .freq="&amp;Music!A9&amp;", .duration="&amp;Music!B9&amp;"},")</f>
        <v>{ .freq=196, .duration=333},</v>
      </c>
    </row>
    <row r="10" spans="1:1" x14ac:dyDescent="0.25">
      <c r="A10" t="str">
        <f>IF(OR(TRIM(Music!A10)="", TRIM(Music!B10)=""),"","{ .freq="&amp;Music!A10&amp;", .duration="&amp;Music!B10&amp;"},")</f>
        <v>{ .freq=330, .duration=333},</v>
      </c>
    </row>
    <row r="11" spans="1:1" x14ac:dyDescent="0.25">
      <c r="A11" t="str">
        <f>IF(OR(TRIM(Music!A11)="", TRIM(Music!B11)=""),"","{ .freq="&amp;Music!A11&amp;", .duration="&amp;Music!B11&amp;"},")</f>
        <v>{ .freq=294, .duration=333},</v>
      </c>
    </row>
    <row r="12" spans="1:1" x14ac:dyDescent="0.25">
      <c r="A12" t="str">
        <f>IF(OR(TRIM(Music!A12)="", TRIM(Music!B12)=""),"","{ .freq="&amp;Music!A12&amp;", .duration="&amp;Music!B12&amp;"},")</f>
        <v>{ .freq=262, .duration=333},</v>
      </c>
    </row>
    <row r="13" spans="1:1" x14ac:dyDescent="0.25">
      <c r="A13" t="str">
        <f>IF(OR(TRIM(Music!A13)="", TRIM(Music!B13)=""),"","{ .freq="&amp;Music!A13&amp;", .duration="&amp;Music!B13&amp;"},")</f>
        <v>{ .freq=220, .duration=1000},</v>
      </c>
    </row>
    <row r="14" spans="1:1" x14ac:dyDescent="0.25">
      <c r="A14" t="str">
        <f>IF(OR(TRIM(Music!A14)="", TRIM(Music!B14)=""),"","{ .freq="&amp;Music!A14&amp;", .duration="&amp;Music!B14&amp;"},")</f>
        <v>{ .freq=220, .duration=333},</v>
      </c>
    </row>
    <row r="15" spans="1:1" x14ac:dyDescent="0.25">
      <c r="A15" t="str">
        <f>IF(OR(TRIM(Music!A15)="", TRIM(Music!B15)=""),"","{ .freq="&amp;Music!A15&amp;", .duration="&amp;Music!B15&amp;"},")</f>
        <v>{ .freq=220, .duration=333},</v>
      </c>
    </row>
    <row r="16" spans="1:1" x14ac:dyDescent="0.25">
      <c r="A16" t="str">
        <f>IF(OR(TRIM(Music!A16)="", TRIM(Music!B16)=""),"","{ .freq="&amp;Music!A16&amp;", .duration="&amp;Music!B16&amp;"},")</f>
        <v>{ .freq=349, .duration=333},</v>
      </c>
    </row>
    <row r="17" spans="1:1" x14ac:dyDescent="0.25">
      <c r="A17" t="str">
        <f>IF(OR(TRIM(Music!A17)="", TRIM(Music!B17)=""),"","{ .freq="&amp;Music!A17&amp;", .duration="&amp;Music!B17&amp;"},")</f>
        <v>{ .freq=330, .duration=333},</v>
      </c>
    </row>
    <row r="18" spans="1:1" x14ac:dyDescent="0.25">
      <c r="A18" t="str">
        <f>IF(OR(TRIM(Music!A18)="", TRIM(Music!B18)=""),"","{ .freq="&amp;Music!A18&amp;", .duration="&amp;Music!B18&amp;"},")</f>
        <v>{ .freq=294, .duration=333},</v>
      </c>
    </row>
    <row r="19" spans="1:1" x14ac:dyDescent="0.25">
      <c r="A19" t="str">
        <f>IF(OR(TRIM(Music!A19)="", TRIM(Music!B19)=""),"","{ .freq="&amp;Music!A19&amp;", .duration="&amp;Music!B19&amp;"},")</f>
        <v>{ .freq=247, .duration=1000},</v>
      </c>
    </row>
    <row r="20" spans="1:1" x14ac:dyDescent="0.25">
      <c r="A20" t="str">
        <f>IF(OR(TRIM(Music!A20)="", TRIM(Music!B20)=""),"","{ .freq="&amp;Music!A20&amp;", .duration="&amp;Music!B20&amp;"},")</f>
        <v>{ .freq=392, .duration=333},</v>
      </c>
    </row>
    <row r="21" spans="1:1" x14ac:dyDescent="0.25">
      <c r="A21" t="str">
        <f>IF(OR(TRIM(Music!A21)="", TRIM(Music!B21)=""),"","{ .freq="&amp;Music!A21&amp;", .duration="&amp;Music!B21&amp;"},")</f>
        <v>{ .freq=392, .duration=333},</v>
      </c>
    </row>
    <row r="22" spans="1:1" x14ac:dyDescent="0.25">
      <c r="A22" t="str">
        <f>IF(OR(TRIM(Music!A22)="", TRIM(Music!B22)=""),"","{ .freq="&amp;Music!A22&amp;", .duration="&amp;Music!B22&amp;"},")</f>
        <v>{ .freq=349, .duration=333},</v>
      </c>
    </row>
    <row r="23" spans="1:1" x14ac:dyDescent="0.25">
      <c r="A23" t="str">
        <f>IF(OR(TRIM(Music!A23)="", TRIM(Music!B23)=""),"","{ .freq="&amp;Music!A23&amp;", .duration="&amp;Music!B23&amp;"},")</f>
        <v>{ .freq=294, .duration=333},</v>
      </c>
    </row>
    <row r="24" spans="1:1" x14ac:dyDescent="0.25">
      <c r="A24" t="str">
        <f>IF(OR(TRIM(Music!A24)="", TRIM(Music!B24)=""),"","{ .freq="&amp;Music!A24&amp;", .duration="&amp;Music!B24&amp;"},")</f>
        <v>{ .freq=262, .duration=1000},</v>
      </c>
    </row>
    <row r="25" spans="1:1" x14ac:dyDescent="0.25">
      <c r="A25" t="str">
        <f>IF(OR(TRIM(Music!A25)="", TRIM(Music!B25)=""),"","{ .freq="&amp;Music!A25&amp;", .duration="&amp;Music!B25&amp;"},")</f>
        <v>{ .freq=196, .duration=333},</v>
      </c>
    </row>
    <row r="26" spans="1:1" x14ac:dyDescent="0.25">
      <c r="A26" t="str">
        <f>IF(OR(TRIM(Music!A26)="", TRIM(Music!B26)=""),"","{ .freq="&amp;Music!A26&amp;", .duration="&amp;Music!B26&amp;"},")</f>
        <v>{ .freq=196, .duration=333},</v>
      </c>
    </row>
    <row r="27" spans="1:1" x14ac:dyDescent="0.25">
      <c r="A27" t="str">
        <f>IF(OR(TRIM(Music!A77)="", TRIM(Music!B77)=""),"","{ .freq="&amp;Music!A77&amp;", .duration="&amp;Music!B77&amp;"},")</f>
        <v>{ .freq=0, .duration=0},</v>
      </c>
    </row>
    <row r="28" spans="1:1" x14ac:dyDescent="0.25">
      <c r="A28" t="str">
        <f>IF(OR(TRIM(Music!A28)="", TRIM(Music!B28)=""),"","{ .freq="&amp;Music!A28&amp;", .duration="&amp;Music!B28&amp;"},")</f>
        <v>{ .freq=294, .duration=333},</v>
      </c>
    </row>
    <row r="29" spans="1:1" x14ac:dyDescent="0.25">
      <c r="A29" t="str">
        <f>IF(OR(TRIM(Music!A29)="", TRIM(Music!B29)=""),"","{ .freq="&amp;Music!A29&amp;", .duration="&amp;Music!B29&amp;"},")</f>
        <v>{ .freq=262, .duration=333},</v>
      </c>
    </row>
    <row r="30" spans="1:1" x14ac:dyDescent="0.25">
      <c r="A30" t="str">
        <f>IF(OR(TRIM(Music!A30)="", TRIM(Music!B30)=""),"","{ .freq="&amp;Music!A30&amp;", .duration="&amp;Music!B30&amp;"},")</f>
        <v>{ .freq=196, .duration=1000},</v>
      </c>
    </row>
    <row r="31" spans="1:1" x14ac:dyDescent="0.25">
      <c r="A31" t="str">
        <f>IF(OR(TRIM(Music!A31)="", TRIM(Music!B31)=""),"","{ .freq="&amp;Music!A31&amp;", .duration="&amp;Music!B31&amp;"},")</f>
        <v>{ .freq=196, .duration=333},</v>
      </c>
    </row>
    <row r="32" spans="1:1" x14ac:dyDescent="0.25">
      <c r="A32" t="str">
        <f>IF(OR(TRIM(Music!A32)="", TRIM(Music!B32)=""),"","{ .freq="&amp;Music!A32&amp;", .duration="&amp;Music!B32&amp;"},")</f>
        <v>{ .freq=196, .duration=333},</v>
      </c>
    </row>
    <row r="33" spans="1:1" x14ac:dyDescent="0.25">
      <c r="A33" t="str">
        <f>IF(OR(TRIM(Music!A33)="", TRIM(Music!B33)=""),"","{ .freq="&amp;Music!A33&amp;", .duration="&amp;Music!B33&amp;"},")</f>
        <v>{ .freq=330, .duration=333},</v>
      </c>
    </row>
    <row r="34" spans="1:1" x14ac:dyDescent="0.25">
      <c r="A34" t="str">
        <f>IF(OR(TRIM(Music!A34)="", TRIM(Music!B34)=""),"","{ .freq="&amp;Music!A34&amp;", .duration="&amp;Music!B34&amp;"},")</f>
        <v>{ .freq=294, .duration=333},</v>
      </c>
    </row>
    <row r="35" spans="1:1" x14ac:dyDescent="0.25">
      <c r="A35" t="str">
        <f>IF(OR(TRIM(Music!A35)="", TRIM(Music!B35)=""),"","{ .freq="&amp;Music!A35&amp;", .duration="&amp;Music!B35&amp;"},")</f>
        <v>{ .freq=262, .duration=333},</v>
      </c>
    </row>
    <row r="36" spans="1:1" x14ac:dyDescent="0.25">
      <c r="A36" t="str">
        <f>IF(OR(TRIM(Music!A36)="", TRIM(Music!B36)=""),"","{ .freq="&amp;Music!A36&amp;", .duration="&amp;Music!B36&amp;"},")</f>
        <v>{ .freq=220, .duration=1000},</v>
      </c>
    </row>
    <row r="37" spans="1:1" x14ac:dyDescent="0.25">
      <c r="A37" t="str">
        <f>IF(OR(TRIM(Music!A37)="", TRIM(Music!B37)=""),"","{ .freq="&amp;Music!A37&amp;", .duration="&amp;Music!B37&amp;"},")</f>
        <v>{ .freq=220, .duration=333},</v>
      </c>
    </row>
    <row r="38" spans="1:1" x14ac:dyDescent="0.25">
      <c r="A38" t="str">
        <f>IF(OR(TRIM(Music!A38)="", TRIM(Music!B38)=""),"","{ .freq="&amp;Music!A38&amp;", .duration="&amp;Music!B38&amp;"},")</f>
        <v>{ .freq=220, .duration=333},</v>
      </c>
    </row>
    <row r="39" spans="1:1" x14ac:dyDescent="0.25">
      <c r="A39" t="str">
        <f>IF(OR(TRIM(Music!A39)="", TRIM(Music!B39)=""),"","{ .freq="&amp;Music!A39&amp;", .duration="&amp;Music!B39&amp;"},")</f>
        <v>{ .freq=349, .duration=333},</v>
      </c>
    </row>
    <row r="40" spans="1:1" x14ac:dyDescent="0.25">
      <c r="A40" t="str">
        <f>IF(OR(TRIM(Music!A40)="", TRIM(Music!B40)=""),"","{ .freq="&amp;Music!A40&amp;", .duration="&amp;Music!B40&amp;"},")</f>
        <v>{ .freq=330, .duration=333},</v>
      </c>
    </row>
    <row r="41" spans="1:1" x14ac:dyDescent="0.25">
      <c r="A41" t="str">
        <f>IF(OR(TRIM(Music!A41)="", TRIM(Music!B41)=""),"","{ .freq="&amp;Music!A41&amp;", .duration="&amp;Music!B41&amp;"},")</f>
        <v>{ .freq=294, .duration=333},</v>
      </c>
    </row>
    <row r="42" spans="1:1" x14ac:dyDescent="0.25">
      <c r="A42" t="str">
        <f>IF(OR(TRIM(Music!A42)="", TRIM(Music!B42)=""),"","{ .freq="&amp;Music!A42&amp;", .duration="&amp;Music!B42&amp;"},")</f>
        <v>{ .freq=247, .duration=1000},</v>
      </c>
    </row>
    <row r="43" spans="1:1" x14ac:dyDescent="0.25">
      <c r="A43" t="str">
        <f>IF(OR(TRIM(Music!A43)="", TRIM(Music!B43)=""),"","{ .freq="&amp;Music!A43&amp;", .duration="&amp;Music!B43&amp;"},")</f>
        <v>{ .freq=392, .duration=333},</v>
      </c>
    </row>
    <row r="44" spans="1:1" x14ac:dyDescent="0.25">
      <c r="A44" t="str">
        <f>IF(OR(TRIM(Music!A44)="", TRIM(Music!B44)=""),"","{ .freq="&amp;Music!A44&amp;", .duration="&amp;Music!B44&amp;"},")</f>
        <v>{ .freq=392, .duration=333},</v>
      </c>
    </row>
    <row r="45" spans="1:1" x14ac:dyDescent="0.25">
      <c r="A45" t="str">
        <f>IF(OR(TRIM(Music!A45)="", TRIM(Music!B45)=""),"","{ .freq="&amp;Music!A45&amp;", .duration="&amp;Music!B45&amp;"},")</f>
        <v>{ .freq=392, .duration=333},</v>
      </c>
    </row>
    <row r="46" spans="1:1" x14ac:dyDescent="0.25">
      <c r="A46" t="str">
        <f>IF(OR(TRIM(Music!A46)="", TRIM(Music!B46)=""),"","{ .freq="&amp;Music!A46&amp;", .duration="&amp;Music!B46&amp;"},")</f>
        <v>{ .freq=392, .duration=333},</v>
      </c>
    </row>
    <row r="47" spans="1:1" x14ac:dyDescent="0.25">
      <c r="A47" t="str">
        <f>IF(OR(TRIM(Music!A47)="", TRIM(Music!B47)=""),"","{ .freq="&amp;Music!A47&amp;", .duration="&amp;Music!B47&amp;"},")</f>
        <v>{ .freq=440, .duration=333},</v>
      </c>
    </row>
    <row r="48" spans="1:1" x14ac:dyDescent="0.25">
      <c r="A48" t="str">
        <f>IF(OR(TRIM(Music!A48)="", TRIM(Music!B48)=""),"","{ .freq="&amp;Music!A48&amp;", .duration="&amp;Music!B48&amp;"},")</f>
        <v>{ .freq=392, .duration=333},</v>
      </c>
    </row>
    <row r="49" spans="1:1" x14ac:dyDescent="0.25">
      <c r="A49" t="str">
        <f>IF(OR(TRIM(Music!A49)="", TRIM(Music!B49)=""),"","{ .freq="&amp;Music!A49&amp;", .duration="&amp;Music!B49&amp;"},")</f>
        <v>{ .freq=349, .duration=333},</v>
      </c>
    </row>
    <row r="50" spans="1:1" x14ac:dyDescent="0.25">
      <c r="A50" t="str">
        <f>IF(OR(TRIM(Music!A50)="", TRIM(Music!B50)=""),"","{ .freq="&amp;Music!A50&amp;", .duration="&amp;Music!B50&amp;"},")</f>
        <v>{ .freq=294, .duration=333},</v>
      </c>
    </row>
    <row r="51" spans="1:1" x14ac:dyDescent="0.25">
      <c r="A51" t="str">
        <f>IF(OR(TRIM(Music!A51)="", TRIM(Music!B51)=""),"","{ .freq="&amp;Music!A51&amp;", .duration="&amp;Music!B51&amp;"},")</f>
        <v>{ .freq=262, .duration=500},</v>
      </c>
    </row>
    <row r="52" spans="1:1" x14ac:dyDescent="0.25">
      <c r="A52" t="str">
        <f>IF(OR(TRIM(Music!A52)="", TRIM(Music!B52)=""),"","{ .freq="&amp;Music!A52&amp;", .duration="&amp;Music!B52&amp;"},")</f>
        <v>{ .freq=392, .duration=500},</v>
      </c>
    </row>
    <row r="53" spans="1:1" x14ac:dyDescent="0.25">
      <c r="A53" t="str">
        <f>IF(OR(TRIM(Music!A53)="", TRIM(Music!B53)=""),"","{ .freq="&amp;Music!A53&amp;", .duration="&amp;Music!B53&amp;"},")</f>
        <v>{ .freq=0, .duration=0},</v>
      </c>
    </row>
    <row r="54" spans="1:1" x14ac:dyDescent="0.25">
      <c r="A54" t="str">
        <f>IF(OR(TRIM(Music!A54)="", TRIM(Music!B54)=""),"","{ .freq="&amp;Music!A54&amp;", .duration="&amp;Music!B54&amp;"},")</f>
        <v/>
      </c>
    </row>
    <row r="55" spans="1:1" x14ac:dyDescent="0.25">
      <c r="A55" t="str">
        <f>IF(OR(TRIM(Music!A55)="", TRIM(Music!B55)=""),"","{ .freq="&amp;Music!A55&amp;", .duration="&amp;Music!B55&amp;"},")</f>
        <v/>
      </c>
    </row>
    <row r="56" spans="1:1" x14ac:dyDescent="0.25">
      <c r="A56" t="str">
        <f>IF(OR(TRIM(Music!A56)="", TRIM(Music!B56)=""),"","{ .freq="&amp;Music!A56&amp;", .duration="&amp;Music!B56&amp;"},")</f>
        <v/>
      </c>
    </row>
    <row r="57" spans="1:1" x14ac:dyDescent="0.25">
      <c r="A57" t="str">
        <f>IF(OR(TRIM(Music!A57)="", TRIM(Music!B57)=""),"","{ .freq="&amp;Music!A57&amp;", .duration="&amp;Music!B57&amp;"},")</f>
        <v/>
      </c>
    </row>
    <row r="58" spans="1:1" x14ac:dyDescent="0.25">
      <c r="A58" t="str">
        <f>IF(OR(TRIM(Music!A58)="", TRIM(Music!B58)=""),"","{ .freq="&amp;Music!A58&amp;", .duration="&amp;Music!B58&amp;"},")</f>
        <v/>
      </c>
    </row>
    <row r="59" spans="1:1" x14ac:dyDescent="0.25">
      <c r="A59" t="str">
        <f>IF(OR(TRIM(Music!A59)="", TRIM(Music!B59)=""),"","{ .freq="&amp;Music!A59&amp;", .duration="&amp;Music!B59&amp;"},")</f>
        <v/>
      </c>
    </row>
    <row r="60" spans="1:1" x14ac:dyDescent="0.25">
      <c r="A60" t="str">
        <f>IF(OR(TRIM(Music!A60)="", TRIM(Music!B60)=""),"","{ .freq="&amp;Music!A60&amp;", .duration="&amp;Music!B60&amp;"},")</f>
        <v/>
      </c>
    </row>
    <row r="61" spans="1:1" x14ac:dyDescent="0.25">
      <c r="A61" t="str">
        <f>IF(OR(TRIM(Music!A61)="", TRIM(Music!B61)=""),"","{ .freq="&amp;Music!A61&amp;", .duration="&amp;Music!B61&amp;"},")</f>
        <v/>
      </c>
    </row>
    <row r="62" spans="1:1" x14ac:dyDescent="0.25">
      <c r="A62" t="str">
        <f>IF(OR(TRIM(Music!A62)="", TRIM(Music!B62)=""),"","{ .freq="&amp;Music!A62&amp;", .duration="&amp;Music!B62&amp;"},")</f>
        <v/>
      </c>
    </row>
    <row r="63" spans="1:1" x14ac:dyDescent="0.25">
      <c r="A63" t="str">
        <f>IF(OR(TRIM(Music!A63)="", TRIM(Music!B63)=""),"","{ .freq="&amp;Music!A63&amp;", .duration="&amp;Music!B63&amp;"},")</f>
        <v/>
      </c>
    </row>
    <row r="64" spans="1:1" x14ac:dyDescent="0.25">
      <c r="A64" t="str">
        <f>IF(OR(TRIM(Music!A64)="", TRIM(Music!B64)=""),"","{ .freq="&amp;Music!A64&amp;", .duration="&amp;Music!B64&amp;"},")</f>
        <v/>
      </c>
    </row>
    <row r="65" spans="1:1" x14ac:dyDescent="0.25">
      <c r="A65" t="str">
        <f>IF(OR(TRIM(Music!A65)="", TRIM(Music!B65)=""),"","{ .freq="&amp;Music!A65&amp;", .duration="&amp;Music!B65&amp;"},")</f>
        <v/>
      </c>
    </row>
    <row r="66" spans="1:1" x14ac:dyDescent="0.25">
      <c r="A66" t="str">
        <f>IF(OR(TRIM(Music!A66)="", TRIM(Music!B66)=""),"","{ .freq="&amp;Music!A66&amp;", .duration="&amp;Music!B66&amp;"},")</f>
        <v/>
      </c>
    </row>
    <row r="67" spans="1:1" x14ac:dyDescent="0.25">
      <c r="A67" t="str">
        <f>IF(OR(TRIM(Music!A67)="", TRIM(Music!B67)=""),"","{ .freq="&amp;Music!A67&amp;", .duration="&amp;Music!B67&amp;"},")</f>
        <v/>
      </c>
    </row>
    <row r="68" spans="1:1" x14ac:dyDescent="0.25">
      <c r="A68" t="str">
        <f>IF(OR(TRIM(Music!A68)="", TRIM(Music!B68)=""),"","{ .freq="&amp;Music!A68&amp;", .duration="&amp;Music!B68&amp;"},")</f>
        <v/>
      </c>
    </row>
    <row r="69" spans="1:1" x14ac:dyDescent="0.25">
      <c r="A69" t="str">
        <f>IF(OR(TRIM(Music!A69)="", TRIM(Music!B69)=""),"","{ .freq="&amp;Music!A69&amp;", .duration="&amp;Music!B69&amp;"},")</f>
        <v/>
      </c>
    </row>
    <row r="70" spans="1:1" x14ac:dyDescent="0.25">
      <c r="A70" t="str">
        <f>IF(OR(TRIM(Music!A70)="", TRIM(Music!B70)=""),"","{ .freq="&amp;Music!A70&amp;", .duration="&amp;Music!B70&amp;"},")</f>
        <v/>
      </c>
    </row>
    <row r="71" spans="1:1" x14ac:dyDescent="0.25">
      <c r="A71" t="str">
        <f>IF(OR(TRIM(Music!A71)="", TRIM(Music!B71)=""),"","{ .freq="&amp;Music!A71&amp;", .duration="&amp;Music!B71&amp;"},")</f>
        <v/>
      </c>
    </row>
    <row r="72" spans="1:1" x14ac:dyDescent="0.25">
      <c r="A72" t="str">
        <f>IF(OR(TRIM(Music!A72)="", TRIM(Music!B72)=""),"","{ .freq="&amp;Music!A72&amp;", .duration="&amp;Music!B72&amp;"},")</f>
        <v/>
      </c>
    </row>
    <row r="73" spans="1:1" x14ac:dyDescent="0.25">
      <c r="A73" t="str">
        <f>IF(OR(TRIM(Music!A73)="", TRIM(Music!B73)=""),"","{ .freq="&amp;Music!A73&amp;", .duration="&amp;Music!B73&amp;"},")</f>
        <v/>
      </c>
    </row>
    <row r="74" spans="1:1" x14ac:dyDescent="0.25">
      <c r="A74" t="str">
        <f>IF(OR(TRIM(Music!A74)="", TRIM(Music!B74)=""),"","{ .freq="&amp;Music!A74&amp;", .duration="&amp;Music!B74&amp;"},")</f>
        <v/>
      </c>
    </row>
    <row r="75" spans="1:1" x14ac:dyDescent="0.25">
      <c r="A75" t="str">
        <f>IF(OR(TRIM(Music!A75)="", TRIM(Music!B75)=""),"","{ .freq="&amp;Music!A75&amp;", .duration="&amp;Music!B75&amp;"},")</f>
        <v/>
      </c>
    </row>
    <row r="76" spans="1:1" x14ac:dyDescent="0.25">
      <c r="A76" t="str">
        <f>IF(OR(TRIM(Music!A76)="", TRIM(Music!B76)=""),"","{ .freq="&amp;Music!A76&amp;", .duration="&amp;Music!B76&amp;"},")</f>
        <v/>
      </c>
    </row>
    <row r="77" spans="1:1" x14ac:dyDescent="0.25">
      <c r="A77" t="e">
        <f>IF(OR(TRIM(Music!#REF!)="", TRIM(Music!#REF!)=""),"","{ .freq="&amp;Music!#REF!&amp;", .duration="&amp;Music!#REF!&amp;"},")</f>
        <v>#REF!</v>
      </c>
    </row>
    <row r="78" spans="1:1" x14ac:dyDescent="0.25">
      <c r="A78" t="str">
        <f>IF(OR(TRIM(Music!A78)="", TRIM(Music!B78)=""),"","{ .freq="&amp;Music!A78&amp;", .duration="&amp;Music!B78&amp;"},")</f>
        <v/>
      </c>
    </row>
    <row r="79" spans="1:1" x14ac:dyDescent="0.25">
      <c r="A79" t="str">
        <f>IF(OR(TRIM(Music!A79)="", TRIM(Music!B79)=""),"","{ .freq="&amp;Music!A79&amp;", .duration="&amp;Music!B79&amp;"},")</f>
        <v/>
      </c>
    </row>
    <row r="80" spans="1:1" x14ac:dyDescent="0.25">
      <c r="A80" t="str">
        <f>IF(OR(TRIM(Music!A80)="", TRIM(Music!B80)=""),"","{ .freq="&amp;Music!A80&amp;", .duration="&amp;Music!B80&amp;"},")</f>
        <v/>
      </c>
    </row>
    <row r="81" spans="1:1" x14ac:dyDescent="0.25">
      <c r="A81" t="str">
        <f>IF(OR(TRIM(Music!A81)="", TRIM(Music!B81)=""),"","{ .freq="&amp;Music!A81&amp;", .duration="&amp;Music!B81&amp;"},")</f>
        <v/>
      </c>
    </row>
    <row r="82" spans="1:1" x14ac:dyDescent="0.25">
      <c r="A82" t="str">
        <f>IF(OR(TRIM(Music!A82)="", TRIM(Music!B82)=""),"","{ .freq="&amp;Music!A82&amp;", .duration="&amp;Music!B82&amp;"},")</f>
        <v/>
      </c>
    </row>
    <row r="83" spans="1:1" x14ac:dyDescent="0.25">
      <c r="A83" t="str">
        <f>IF(OR(TRIM(Music!A83)="", TRIM(Music!B83)=""),"","{ .freq="&amp;Music!A83&amp;", .duration="&amp;Music!B83&amp;"},")</f>
        <v/>
      </c>
    </row>
    <row r="84" spans="1:1" x14ac:dyDescent="0.25">
      <c r="A84" t="str">
        <f>IF(OR(TRIM(Music!A84)="", TRIM(Music!B84)=""),"","{ .freq="&amp;Music!A84&amp;", .duration="&amp;Music!B84&amp;"},")</f>
        <v/>
      </c>
    </row>
    <row r="85" spans="1:1" x14ac:dyDescent="0.25">
      <c r="A85" t="str">
        <f>IF(OR(TRIM(Music!A85)="", TRIM(Music!B85)=""),"","{ .freq="&amp;Music!A85&amp;", .duration="&amp;Music!B85&amp;"},")</f>
        <v/>
      </c>
    </row>
    <row r="86" spans="1:1" x14ac:dyDescent="0.25">
      <c r="A86" t="str">
        <f>IF(OR(TRIM(Music!A86)="", TRIM(Music!B86)=""),"","{ .freq="&amp;Music!A86&amp;", .duration="&amp;Music!B86&amp;"},")</f>
        <v/>
      </c>
    </row>
    <row r="87" spans="1:1" x14ac:dyDescent="0.25">
      <c r="A87" t="str">
        <f>IF(OR(TRIM(Music!A87)="", TRIM(Music!B87)=""),"","{ .freq="&amp;Music!A87&amp;", .duration="&amp;Music!B87&amp;"},")</f>
        <v/>
      </c>
    </row>
    <row r="88" spans="1:1" x14ac:dyDescent="0.25">
      <c r="A88" t="str">
        <f>IF(OR(TRIM(Music!A88)="", TRIM(Music!B88)=""),"","{ .freq="&amp;Music!A88&amp;", .duration="&amp;Music!B88&amp;"},")</f>
        <v/>
      </c>
    </row>
    <row r="89" spans="1:1" x14ac:dyDescent="0.25">
      <c r="A89" t="str">
        <f>IF(OR(TRIM(Music!A89)="", TRIM(Music!B89)=""),"","{ .freq="&amp;Music!A89&amp;", .duration="&amp;Music!B89&amp;"},")</f>
        <v/>
      </c>
    </row>
    <row r="90" spans="1:1" x14ac:dyDescent="0.25">
      <c r="A90" t="str">
        <f>IF(OR(TRIM(Music!A90)="", TRIM(Music!B90)=""),"","{ .freq="&amp;Music!A90&amp;", .duration="&amp;Music!B90&amp;"},")</f>
        <v/>
      </c>
    </row>
    <row r="91" spans="1:1" x14ac:dyDescent="0.25">
      <c r="A91" t="str">
        <f>IF(OR(TRIM(Music!A91)="", TRIM(Music!B91)=""),"","{ .freq="&amp;Music!A91&amp;", .duration="&amp;Music!B91&amp;"},")</f>
        <v/>
      </c>
    </row>
    <row r="92" spans="1:1" x14ac:dyDescent="0.25">
      <c r="A92" t="str">
        <f>IF(OR(TRIM(Music!A92)="", TRIM(Music!B92)=""),"","{ .freq="&amp;Music!A92&amp;", .duration="&amp;Music!B92&amp;"},")</f>
        <v/>
      </c>
    </row>
    <row r="93" spans="1:1" x14ac:dyDescent="0.25">
      <c r="A93" t="str">
        <f>IF(OR(TRIM(Music!A93)="", TRIM(Music!B93)=""),"","{ .freq="&amp;Music!A93&amp;", .duration="&amp;Music!B93&amp;"},")</f>
        <v/>
      </c>
    </row>
    <row r="94" spans="1:1" x14ac:dyDescent="0.25">
      <c r="A94" t="str">
        <f>IF(OR(TRIM(Music!A94)="", TRIM(Music!B94)=""),"","{ .freq="&amp;Music!A94&amp;", .duration="&amp;Music!B94&amp;"},")</f>
        <v/>
      </c>
    </row>
    <row r="95" spans="1:1" x14ac:dyDescent="0.25">
      <c r="A95" t="str">
        <f>IF(OR(TRIM(Music!A95)="", TRIM(Music!B95)=""),"","{ .freq="&amp;Music!A95&amp;", .duration="&amp;Music!B95&amp;"},")</f>
        <v/>
      </c>
    </row>
    <row r="96" spans="1:1" x14ac:dyDescent="0.25">
      <c r="A96" t="str">
        <f>IF(OR(TRIM(Music!A96)="", TRIM(Music!B96)=""),"","{ .freq="&amp;Music!A96&amp;", .duration="&amp;Music!B96&amp;"},")</f>
        <v/>
      </c>
    </row>
    <row r="97" spans="1:1" x14ac:dyDescent="0.25">
      <c r="A97" t="str">
        <f>IF(OR(TRIM(Music!A97)="", TRIM(Music!B97)=""),"","{ .freq="&amp;Music!A97&amp;", .duration="&amp;Music!B97&amp;"},")</f>
        <v/>
      </c>
    </row>
    <row r="98" spans="1:1" x14ac:dyDescent="0.25">
      <c r="A98" t="str">
        <f>IF(OR(TRIM(Music!A98)="", TRIM(Music!B98)=""),"","{ .freq="&amp;Music!A98&amp;", .duration="&amp;Music!B98&amp;"},")</f>
        <v/>
      </c>
    </row>
    <row r="99" spans="1:1" x14ac:dyDescent="0.25">
      <c r="A99" t="str">
        <f>IF(OR(TRIM(Music!A99)="", TRIM(Music!B99)=""),"","{ .freq="&amp;Music!A99&amp;", .duration="&amp;Music!B99&amp;"},")</f>
        <v/>
      </c>
    </row>
    <row r="100" spans="1:1" x14ac:dyDescent="0.25">
      <c r="A100" t="str">
        <f>IF(OR(TRIM(Music!A100)="", TRIM(Music!B100)=""),"","{ .freq="&amp;Music!A100&amp;", .duration="&amp;Music!B100&amp;"},")</f>
        <v/>
      </c>
    </row>
    <row r="101" spans="1:1" x14ac:dyDescent="0.25">
      <c r="A101" t="str">
        <f>IF(OR(TRIM(Music!A101)="", TRIM(Music!B101)=""),"","{ .freq="&amp;Music!A101&amp;", .duration="&amp;Music!B101&amp;"},")</f>
        <v/>
      </c>
    </row>
    <row r="102" spans="1:1" x14ac:dyDescent="0.25">
      <c r="A102" t="str">
        <f>IF(OR(TRIM(Music!A102)="", TRIM(Music!B102)=""),"","{ .freq="&amp;Music!A102&amp;", .duration="&amp;Music!B102&amp;"},")</f>
        <v/>
      </c>
    </row>
    <row r="103" spans="1:1" x14ac:dyDescent="0.25">
      <c r="A103" t="str">
        <f>IF(OR(TRIM(Music!A103)="", TRIM(Music!B103)=""),"","{ .freq="&amp;Music!A103&amp;", .duration="&amp;Music!B103&amp;"},")</f>
        <v/>
      </c>
    </row>
    <row r="104" spans="1:1" x14ac:dyDescent="0.25">
      <c r="A104" t="str">
        <f>IF(OR(TRIM(Music!A104)="", TRIM(Music!B104)=""),"","{ .freq="&amp;Music!A104&amp;", .duration="&amp;Music!B104&amp;"},")</f>
        <v/>
      </c>
    </row>
    <row r="105" spans="1:1" x14ac:dyDescent="0.25">
      <c r="A105" t="str">
        <f>IF(OR(TRIM(Music!A105)="", TRIM(Music!B105)=""),"","{ .freq="&amp;Music!A105&amp;", .duration="&amp;Music!B105&amp;"},")</f>
        <v/>
      </c>
    </row>
    <row r="106" spans="1:1" x14ac:dyDescent="0.25">
      <c r="A106" t="str">
        <f>IF(OR(TRIM(Music!A106)="", TRIM(Music!B106)=""),"","{ .freq="&amp;Music!A106&amp;", .duration="&amp;Music!B106&amp;"},")</f>
        <v/>
      </c>
    </row>
    <row r="107" spans="1:1" x14ac:dyDescent="0.25">
      <c r="A107" t="str">
        <f>IF(OR(TRIM(Music!A107)="", TRIM(Music!B107)=""),"","{ .freq="&amp;Music!A107&amp;", .duration="&amp;Music!B107&amp;"},")</f>
        <v/>
      </c>
    </row>
    <row r="108" spans="1:1" x14ac:dyDescent="0.25">
      <c r="A108" t="str">
        <f>IF(OR(TRIM(Music!A108)="", TRIM(Music!B108)=""),"","{ .freq="&amp;Music!A108&amp;", .duration="&amp;Music!B108&amp;"},")</f>
        <v/>
      </c>
    </row>
    <row r="109" spans="1:1" x14ac:dyDescent="0.25">
      <c r="A109" t="str">
        <f>IF(OR(TRIM(Music!A109)="", TRIM(Music!B109)=""),"","{ .freq="&amp;Music!A109&amp;", .duration="&amp;Music!B109&amp;"},")</f>
        <v/>
      </c>
    </row>
    <row r="110" spans="1:1" x14ac:dyDescent="0.25">
      <c r="A110" t="str">
        <f>IF(OR(TRIM(Music!A110)="", TRIM(Music!B110)=""),"","{ .freq="&amp;Music!A110&amp;", .duration="&amp;Music!B110&amp;"},")</f>
        <v/>
      </c>
    </row>
    <row r="111" spans="1:1" x14ac:dyDescent="0.25">
      <c r="A111" t="str">
        <f>IF(OR(TRIM(Music!A111)="", TRIM(Music!B111)=""),"","{ .freq="&amp;Music!A111&amp;", .duration="&amp;Music!B111&amp;"},")</f>
        <v/>
      </c>
    </row>
    <row r="112" spans="1:1" x14ac:dyDescent="0.25">
      <c r="A112" t="str">
        <f>IF(OR(TRIM(Music!A112)="", TRIM(Music!B112)=""),"","{ .freq="&amp;Music!A112&amp;", .duration="&amp;Music!B112&amp;"},")</f>
        <v/>
      </c>
    </row>
    <row r="113" spans="1:1" x14ac:dyDescent="0.25">
      <c r="A113" t="str">
        <f>IF(OR(TRIM(Music!A113)="", TRIM(Music!B113)=""),"","{ .freq="&amp;Music!A113&amp;", .duration="&amp;Music!B113&amp;"},")</f>
        <v/>
      </c>
    </row>
    <row r="114" spans="1:1" x14ac:dyDescent="0.25">
      <c r="A114" t="str">
        <f>IF(OR(TRIM(Music!A114)="", TRIM(Music!B114)=""),"","{ .freq="&amp;Music!A114&amp;", .duration="&amp;Music!B114&amp;"},")</f>
        <v/>
      </c>
    </row>
    <row r="115" spans="1:1" x14ac:dyDescent="0.25">
      <c r="A115" t="str">
        <f>IF(OR(TRIM(Music!A115)="", TRIM(Music!B115)=""),"","{ .freq="&amp;Music!A115&amp;", .duration="&amp;Music!B115&amp;"},")</f>
        <v/>
      </c>
    </row>
    <row r="116" spans="1:1" x14ac:dyDescent="0.25">
      <c r="A116" t="str">
        <f>IF(OR(TRIM(Music!A116)="", TRIM(Music!B116)=""),"","{ .freq="&amp;Music!A116&amp;", .duration="&amp;Music!B116&amp;"},")</f>
        <v/>
      </c>
    </row>
    <row r="117" spans="1:1" x14ac:dyDescent="0.25">
      <c r="A117" t="str">
        <f>IF(OR(TRIM(Music!A117)="", TRIM(Music!B117)=""),"","{ .freq="&amp;Music!A117&amp;", .duration="&amp;Music!B117&amp;"},")</f>
        <v/>
      </c>
    </row>
    <row r="118" spans="1:1" x14ac:dyDescent="0.25">
      <c r="A118" t="str">
        <f>IF(OR(TRIM(Music!A118)="", TRIM(Music!B118)=""),"","{ .freq="&amp;Music!A118&amp;", .duration="&amp;Music!B118&amp;"},")</f>
        <v/>
      </c>
    </row>
    <row r="119" spans="1:1" x14ac:dyDescent="0.25">
      <c r="A119" t="str">
        <f>IF(OR(TRIM(Music!A119)="", TRIM(Music!B119)=""),"","{ .freq="&amp;Music!A119&amp;", .duration="&amp;Music!B119&amp;"},")</f>
        <v/>
      </c>
    </row>
    <row r="120" spans="1:1" x14ac:dyDescent="0.25">
      <c r="A120" t="str">
        <f>IF(OR(TRIM(Music!A120)="", TRIM(Music!B120)=""),"","{ .freq="&amp;Music!A120&amp;", .duration="&amp;Music!B120&amp;"},")</f>
        <v/>
      </c>
    </row>
    <row r="121" spans="1:1" x14ac:dyDescent="0.25">
      <c r="A121" t="str">
        <f>IF(OR(TRIM(Music!A121)="", TRIM(Music!B121)=""),"","{ .freq="&amp;Music!A121&amp;", .duration="&amp;Music!B121&amp;"},")</f>
        <v/>
      </c>
    </row>
    <row r="122" spans="1:1" x14ac:dyDescent="0.25">
      <c r="A122" t="str">
        <f>IF(OR(TRIM(Music!A122)="", TRIM(Music!B122)=""),"","{ .freq="&amp;Music!A122&amp;", .duration="&amp;Music!B122&amp;"},")</f>
        <v/>
      </c>
    </row>
    <row r="123" spans="1:1" x14ac:dyDescent="0.25">
      <c r="A123" t="str">
        <f>IF(OR(TRIM(Music!A123)="", TRIM(Music!B123)=""),"","{ .freq="&amp;Music!A123&amp;", .duration="&amp;Music!B123&amp;"},")</f>
        <v/>
      </c>
    </row>
    <row r="124" spans="1:1" x14ac:dyDescent="0.25">
      <c r="A124" t="str">
        <f>IF(OR(TRIM(Music!A124)="", TRIM(Music!B124)=""),"","{ .freq="&amp;Music!A124&amp;", .duration="&amp;Music!B124&amp;"},")</f>
        <v/>
      </c>
    </row>
    <row r="125" spans="1:1" x14ac:dyDescent="0.25">
      <c r="A125" t="str">
        <f>IF(OR(TRIM(Music!A125)="", TRIM(Music!B125)=""),"","{ .freq="&amp;Music!A125&amp;", .duration="&amp;Music!B125&amp;"},")</f>
        <v/>
      </c>
    </row>
    <row r="126" spans="1:1" x14ac:dyDescent="0.25">
      <c r="A126" t="str">
        <f>IF(OR(TRIM(Music!A126)="", TRIM(Music!B126)=""),"","{ .freq="&amp;Music!A126&amp;", .duration="&amp;Music!B126&amp;"},")</f>
        <v/>
      </c>
    </row>
    <row r="127" spans="1:1" x14ac:dyDescent="0.25">
      <c r="A127" t="str">
        <f>IF(OR(TRIM(Music!A127)="", TRIM(Music!B127)=""),"","{ .freq="&amp;Music!A127&amp;", .duration="&amp;Music!B127&amp;"},")</f>
        <v/>
      </c>
    </row>
    <row r="128" spans="1:1" x14ac:dyDescent="0.25">
      <c r="A128" t="str">
        <f>IF(OR(TRIM(Music!A128)="", TRIM(Music!B128)=""),"","{ .freq="&amp;Music!A128&amp;", .duration="&amp;Music!B128&amp;"},")</f>
        <v/>
      </c>
    </row>
    <row r="129" spans="1:1" x14ac:dyDescent="0.25">
      <c r="A129" t="str">
        <f>IF(OR(TRIM(Music!A129)="", TRIM(Music!B129)=""),"","{ .freq="&amp;Music!A129&amp;", .duration="&amp;Music!B129&amp;"},")</f>
        <v/>
      </c>
    </row>
    <row r="130" spans="1:1" x14ac:dyDescent="0.25">
      <c r="A130" t="str">
        <f>IF(OR(TRIM(Music!A130)="", TRIM(Music!B130)=""),"","{ .freq="&amp;Music!A130&amp;", .duration="&amp;Music!B130&amp;"},")</f>
        <v/>
      </c>
    </row>
    <row r="131" spans="1:1" x14ac:dyDescent="0.25">
      <c r="A131" t="str">
        <f>IF(OR(TRIM(Music!A131)="", TRIM(Music!B131)=""),"","{ .freq="&amp;Music!A131&amp;", .duration="&amp;Music!B131&amp;"},")</f>
        <v/>
      </c>
    </row>
    <row r="132" spans="1:1" x14ac:dyDescent="0.25">
      <c r="A132" t="str">
        <f>IF(OR(TRIM(Music!A132)="", TRIM(Music!B132)=""),"","{ .freq="&amp;Music!A132&amp;", .duration="&amp;Music!B132&amp;"},")</f>
        <v/>
      </c>
    </row>
    <row r="133" spans="1:1" x14ac:dyDescent="0.25">
      <c r="A133" t="str">
        <f>IF(OR(TRIM(Music!A133)="", TRIM(Music!B133)=""),"","{ .freq="&amp;Music!A133&amp;", .duration="&amp;Music!B133&amp;"},")</f>
        <v/>
      </c>
    </row>
    <row r="134" spans="1:1" x14ac:dyDescent="0.25">
      <c r="A134" t="str">
        <f>IF(OR(TRIM(Music!A134)="", TRIM(Music!B134)=""),"","{ .freq="&amp;Music!A134&amp;", .duration="&amp;Music!B134&amp;"},")</f>
        <v/>
      </c>
    </row>
    <row r="135" spans="1:1" x14ac:dyDescent="0.25">
      <c r="A135" t="str">
        <f>IF(OR(TRIM(Music!A135)="", TRIM(Music!B135)=""),"","{ .freq="&amp;Music!A135&amp;", .duration="&amp;Music!B135&amp;"},")</f>
        <v/>
      </c>
    </row>
    <row r="136" spans="1:1" x14ac:dyDescent="0.25">
      <c r="A136" t="str">
        <f>IF(OR(TRIM(Music!A136)="", TRIM(Music!B136)=""),"","{ .freq="&amp;Music!A136&amp;", .duration="&amp;Music!B136&amp;"},")</f>
        <v/>
      </c>
    </row>
    <row r="137" spans="1:1" x14ac:dyDescent="0.25">
      <c r="A137" t="str">
        <f>IF(OR(TRIM(Music!A137)="", TRIM(Music!B137)=""),"","{ .freq="&amp;Music!A137&amp;", .duration="&amp;Music!B137&amp;"},")</f>
        <v/>
      </c>
    </row>
    <row r="138" spans="1:1" x14ac:dyDescent="0.25">
      <c r="A138" t="str">
        <f>IF(OR(TRIM(Music!A138)="", TRIM(Music!B138)=""),"","{ .freq="&amp;Music!A138&amp;", .duration="&amp;Music!B138&amp;"},")</f>
        <v/>
      </c>
    </row>
    <row r="139" spans="1:1" x14ac:dyDescent="0.25">
      <c r="A139" t="str">
        <f>IF(OR(TRIM(Music!A139)="", TRIM(Music!B139)=""),"","{ .freq="&amp;Music!A139&amp;", .duration="&amp;Music!B139&amp;"},")</f>
        <v/>
      </c>
    </row>
    <row r="140" spans="1:1" x14ac:dyDescent="0.25">
      <c r="A140" t="str">
        <f>IF(OR(TRIM(Music!A140)="", TRIM(Music!B140)=""),"","{ .freq="&amp;Music!A140&amp;", .duration="&amp;Music!B140&amp;"},")</f>
        <v/>
      </c>
    </row>
    <row r="141" spans="1:1" x14ac:dyDescent="0.25">
      <c r="A141" t="str">
        <f>IF(OR(TRIM(Music!A141)="", TRIM(Music!B141)=""),"","{ .freq="&amp;Music!A141&amp;", .duration="&amp;Music!B141&amp;"},")</f>
        <v/>
      </c>
    </row>
    <row r="142" spans="1:1" x14ac:dyDescent="0.25">
      <c r="A142" t="str">
        <f>IF(OR(TRIM(Music!A142)="", TRIM(Music!B142)=""),"","{ .freq="&amp;Music!A142&amp;", .duration="&amp;Music!B142&amp;"},")</f>
        <v/>
      </c>
    </row>
    <row r="143" spans="1:1" x14ac:dyDescent="0.25">
      <c r="A143" t="str">
        <f>IF(OR(TRIM(Music!A143)="", TRIM(Music!B143)=""),"","{ .freq="&amp;Music!A143&amp;", .duration="&amp;Music!B143&amp;"},")</f>
        <v/>
      </c>
    </row>
    <row r="144" spans="1:1" x14ac:dyDescent="0.25">
      <c r="A144" t="str">
        <f>IF(OR(TRIM(Music!A144)="", TRIM(Music!B144)=""),"","{ .freq="&amp;Music!A144&amp;", .duration="&amp;Music!B144&amp;"},")</f>
        <v/>
      </c>
    </row>
    <row r="145" spans="1:1" x14ac:dyDescent="0.25">
      <c r="A145" t="str">
        <f>IF(OR(TRIM(Music!A145)="", TRIM(Music!B145)=""),"","{ .freq="&amp;Music!A145&amp;", .duration="&amp;Music!B145&amp;"},")</f>
        <v/>
      </c>
    </row>
    <row r="146" spans="1:1" x14ac:dyDescent="0.25">
      <c r="A146" t="str">
        <f>IF(OR(TRIM(Music!A146)="", TRIM(Music!B146)=""),"","{ .freq="&amp;Music!A146&amp;", .duration="&amp;Music!B146&amp;"},")</f>
        <v/>
      </c>
    </row>
    <row r="147" spans="1:1" x14ac:dyDescent="0.25">
      <c r="A147" t="str">
        <f>IF(OR(TRIM(Music!A147)="", TRIM(Music!B147)=""),"","{ .freq="&amp;Music!A147&amp;", .duration="&amp;Music!B147&amp;"},")</f>
        <v/>
      </c>
    </row>
    <row r="148" spans="1:1" x14ac:dyDescent="0.25">
      <c r="A148" t="str">
        <f>IF(OR(TRIM(Music!A148)="", TRIM(Music!B148)=""),"","{ .freq="&amp;Music!A148&amp;", .duration="&amp;Music!B148&amp;"},")</f>
        <v/>
      </c>
    </row>
    <row r="149" spans="1:1" x14ac:dyDescent="0.25">
      <c r="A149" t="str">
        <f>IF(OR(TRIM(Music!A149)="", TRIM(Music!B149)=""),"","{ .freq="&amp;Music!A149&amp;", .duration="&amp;Music!B149&amp;"},")</f>
        <v/>
      </c>
    </row>
    <row r="150" spans="1:1" x14ac:dyDescent="0.25">
      <c r="A150" t="str">
        <f>IF(OR(TRIM(Music!A150)="", TRIM(Music!B150)=""),"","{ .freq="&amp;Music!A150&amp;", .duration="&amp;Music!B150&amp;"},")</f>
        <v/>
      </c>
    </row>
    <row r="151" spans="1:1" x14ac:dyDescent="0.25">
      <c r="A151" t="str">
        <f>IF(OR(TRIM(Music!A151)="", TRIM(Music!B151)=""),"","{ .freq="&amp;Music!A151&amp;", .duration="&amp;Music!B151&amp;"},")</f>
        <v/>
      </c>
    </row>
    <row r="152" spans="1:1" x14ac:dyDescent="0.25">
      <c r="A152" t="str">
        <f>IF(OR(TRIM(Music!A152)="", TRIM(Music!B152)=""),"","{ .freq="&amp;Music!A152&amp;", .duration="&amp;Music!B152&amp;"},")</f>
        <v/>
      </c>
    </row>
    <row r="153" spans="1:1" x14ac:dyDescent="0.25">
      <c r="A153" t="str">
        <f>IF(OR(TRIM(Music!A153)="", TRIM(Music!B153)=""),"","{ .freq="&amp;Music!A153&amp;", .duration="&amp;Music!B153&amp;"},")</f>
        <v/>
      </c>
    </row>
    <row r="154" spans="1:1" x14ac:dyDescent="0.25">
      <c r="A154" t="str">
        <f>IF(OR(TRIM(Music!A154)="", TRIM(Music!B154)=""),"","{ .freq="&amp;Music!A154&amp;", .duration="&amp;Music!B154&amp;"},")</f>
        <v/>
      </c>
    </row>
    <row r="155" spans="1:1" x14ac:dyDescent="0.25">
      <c r="A155" t="str">
        <f>IF(OR(TRIM(Music!A155)="", TRIM(Music!B155)=""),"","{ .freq="&amp;Music!A155&amp;", .duration="&amp;Music!B155&amp;"},")</f>
        <v/>
      </c>
    </row>
    <row r="156" spans="1:1" x14ac:dyDescent="0.25">
      <c r="A156" t="str">
        <f>IF(OR(TRIM(Music!A156)="", TRIM(Music!B156)=""),"","{ .freq="&amp;Music!A156&amp;", .duration="&amp;Music!B156&amp;"},")</f>
        <v/>
      </c>
    </row>
    <row r="157" spans="1:1" x14ac:dyDescent="0.25">
      <c r="A157" t="str">
        <f>IF(OR(TRIM(Music!A157)="", TRIM(Music!B157)=""),"","{ .freq="&amp;Music!A157&amp;", .duration="&amp;Music!B157&amp;"},")</f>
        <v/>
      </c>
    </row>
    <row r="158" spans="1:1" x14ac:dyDescent="0.25">
      <c r="A158" t="str">
        <f>IF(OR(TRIM(Music!A158)="", TRIM(Music!B158)=""),"","{ .freq="&amp;Music!A158&amp;", .duration="&amp;Music!B158&amp;"},")</f>
        <v/>
      </c>
    </row>
    <row r="159" spans="1:1" x14ac:dyDescent="0.25">
      <c r="A159" t="str">
        <f>IF(OR(TRIM(Music!A159)="", TRIM(Music!B159)=""),"","{ .freq="&amp;Music!A159&amp;", .duration="&amp;Music!B159&amp;"},")</f>
        <v/>
      </c>
    </row>
    <row r="160" spans="1:1" x14ac:dyDescent="0.25">
      <c r="A160" t="str">
        <f>IF(OR(TRIM(Music!A160)="", TRIM(Music!B160)=""),"","{ .freq="&amp;Music!A160&amp;", .duration="&amp;Music!B160&amp;"},")</f>
        <v/>
      </c>
    </row>
    <row r="161" spans="1:1" x14ac:dyDescent="0.25">
      <c r="A161" t="str">
        <f>IF(OR(TRIM(Music!A161)="", TRIM(Music!B161)=""),"","{ .freq="&amp;Music!A161&amp;", .duration="&amp;Music!B161&amp;"},")</f>
        <v/>
      </c>
    </row>
    <row r="162" spans="1:1" x14ac:dyDescent="0.25">
      <c r="A162" t="str">
        <f>IF(OR(TRIM(Music!A162)="", TRIM(Music!B162)=""),"","{ .freq="&amp;Music!A162&amp;", .duration="&amp;Music!B162&amp;"},")</f>
        <v/>
      </c>
    </row>
    <row r="163" spans="1:1" x14ac:dyDescent="0.25">
      <c r="A163" t="str">
        <f>IF(OR(TRIM(Music!A163)="", TRIM(Music!B163)=""),"","{ .freq="&amp;Music!A163&amp;", .duration="&amp;Music!B163&amp;"},")</f>
        <v/>
      </c>
    </row>
    <row r="164" spans="1:1" x14ac:dyDescent="0.25">
      <c r="A164" t="str">
        <f>IF(OR(TRIM(Music!A164)="", TRIM(Music!B164)=""),"","{ .freq="&amp;Music!A164&amp;", .duration="&amp;Music!B164&amp;"},")</f>
        <v/>
      </c>
    </row>
    <row r="165" spans="1:1" x14ac:dyDescent="0.25">
      <c r="A165" t="str">
        <f>IF(OR(TRIM(Music!A165)="", TRIM(Music!B165)=""),"","{ .freq="&amp;Music!A165&amp;", .duration="&amp;Music!B165&amp;"},")</f>
        <v/>
      </c>
    </row>
    <row r="166" spans="1:1" x14ac:dyDescent="0.25">
      <c r="A166" t="str">
        <f>IF(OR(TRIM(Music!A166)="", TRIM(Music!B166)=""),"","{ .freq="&amp;Music!A166&amp;", .duration="&amp;Music!B166&amp;"},")</f>
        <v/>
      </c>
    </row>
    <row r="167" spans="1:1" x14ac:dyDescent="0.25">
      <c r="A167" t="str">
        <f>IF(OR(TRIM(Music!A167)="", TRIM(Music!B167)=""),"","{ .freq="&amp;Music!A167&amp;", .duration="&amp;Music!B167&amp;"},")</f>
        <v/>
      </c>
    </row>
    <row r="168" spans="1:1" x14ac:dyDescent="0.25">
      <c r="A168" t="str">
        <f>IF(OR(TRIM(Music!A168)="", TRIM(Music!B168)=""),"","{ .freq="&amp;Music!A168&amp;", .duration="&amp;Music!B168&amp;"},")</f>
        <v/>
      </c>
    </row>
    <row r="169" spans="1:1" x14ac:dyDescent="0.25">
      <c r="A169" t="str">
        <f>IF(OR(TRIM(Music!A169)="", TRIM(Music!B169)=""),"","{ .freq="&amp;Music!A169&amp;", .duration="&amp;Music!B169&amp;"},")</f>
        <v/>
      </c>
    </row>
    <row r="170" spans="1:1" x14ac:dyDescent="0.25">
      <c r="A170" t="str">
        <f>IF(OR(TRIM(Music!A170)="", TRIM(Music!B170)=""),"","{ .freq="&amp;Music!A170&amp;", .duration="&amp;Music!B170&amp;"},")</f>
        <v/>
      </c>
    </row>
    <row r="171" spans="1:1" x14ac:dyDescent="0.25">
      <c r="A171" t="str">
        <f>IF(OR(TRIM(Music!A171)="", TRIM(Music!B171)=""),"","{ .freq="&amp;Music!A171&amp;", .duration="&amp;Music!B171&amp;"},")</f>
        <v/>
      </c>
    </row>
    <row r="172" spans="1:1" x14ac:dyDescent="0.25">
      <c r="A172" t="str">
        <f>IF(OR(TRIM(Music!A172)="", TRIM(Music!B172)=""),"","{ .freq="&amp;Music!A172&amp;", .duration="&amp;Music!B172&amp;"},")</f>
        <v/>
      </c>
    </row>
    <row r="173" spans="1:1" x14ac:dyDescent="0.25">
      <c r="A173" t="str">
        <f>IF(OR(TRIM(Music!A173)="", TRIM(Music!B173)=""),"","{ .freq="&amp;Music!A173&amp;", .duration="&amp;Music!B173&amp;"},")</f>
        <v/>
      </c>
    </row>
    <row r="174" spans="1:1" x14ac:dyDescent="0.25">
      <c r="A174" t="str">
        <f>IF(OR(TRIM(Music!A174)="", TRIM(Music!B174)=""),"","{ .freq="&amp;Music!A174&amp;", .duration="&amp;Music!B174&amp;"},")</f>
        <v/>
      </c>
    </row>
    <row r="175" spans="1:1" x14ac:dyDescent="0.25">
      <c r="A175" t="str">
        <f>IF(OR(TRIM(Music!A175)="", TRIM(Music!B175)=""),"","{ .freq="&amp;Music!A175&amp;", .duration="&amp;Music!B175&amp;"},")</f>
        <v/>
      </c>
    </row>
    <row r="176" spans="1:1" x14ac:dyDescent="0.25">
      <c r="A176" t="str">
        <f>IF(OR(TRIM(Music!A176)="", TRIM(Music!B176)=""),"","{ .freq="&amp;Music!A176&amp;", .duration="&amp;Music!B176&amp;"},")</f>
        <v/>
      </c>
    </row>
    <row r="177" spans="1:1" x14ac:dyDescent="0.25">
      <c r="A177" t="str">
        <f>IF(OR(TRIM(Music!A177)="", TRIM(Music!B177)=""),"","{ .freq="&amp;Music!A177&amp;", .duration="&amp;Music!B177&amp;"},")</f>
        <v/>
      </c>
    </row>
    <row r="178" spans="1:1" x14ac:dyDescent="0.25">
      <c r="A178" t="str">
        <f>IF(OR(TRIM(Music!A178)="", TRIM(Music!B178)=""),"","{ .freq="&amp;Music!A178&amp;", .duration="&amp;Music!B178&amp;"},")</f>
        <v/>
      </c>
    </row>
    <row r="179" spans="1:1" x14ac:dyDescent="0.25">
      <c r="A179" t="str">
        <f>IF(OR(TRIM(Music!A179)="", TRIM(Music!B179)=""),"","{ .freq="&amp;Music!A179&amp;", .duration="&amp;Music!B179&amp;"},")</f>
        <v/>
      </c>
    </row>
    <row r="180" spans="1:1" x14ac:dyDescent="0.25">
      <c r="A180" t="str">
        <f>IF(OR(TRIM(Music!A180)="", TRIM(Music!B180)=""),"","{ .freq="&amp;Music!A180&amp;", .duration="&amp;Music!B180&amp;"},")</f>
        <v/>
      </c>
    </row>
    <row r="181" spans="1:1" x14ac:dyDescent="0.25">
      <c r="A181" t="str">
        <f>IF(OR(TRIM(Music!A181)="", TRIM(Music!B181)=""),"","{ .freq="&amp;Music!A181&amp;", .duration="&amp;Music!B181&amp;"},")</f>
        <v/>
      </c>
    </row>
    <row r="182" spans="1:1" x14ac:dyDescent="0.25">
      <c r="A182" t="str">
        <f>IF(OR(TRIM(Music!A182)="", TRIM(Music!B182)=""),"","{ .freq="&amp;Music!A182&amp;", .duration="&amp;Music!B182&amp;"},")</f>
        <v/>
      </c>
    </row>
    <row r="183" spans="1:1" x14ac:dyDescent="0.25">
      <c r="A183" t="str">
        <f>IF(OR(TRIM(Music!A183)="", TRIM(Music!B183)=""),"","{ .freq="&amp;Music!A183&amp;", .duration="&amp;Music!B183&amp;"},")</f>
        <v/>
      </c>
    </row>
    <row r="184" spans="1:1" x14ac:dyDescent="0.25">
      <c r="A184" t="str">
        <f>IF(OR(TRIM(Music!A184)="", TRIM(Music!B184)=""),"","{ .freq="&amp;Music!A184&amp;", .duration="&amp;Music!B184&amp;"},")</f>
        <v/>
      </c>
    </row>
    <row r="185" spans="1:1" x14ac:dyDescent="0.25">
      <c r="A185" t="str">
        <f>IF(OR(TRIM(Music!A185)="", TRIM(Music!B185)=""),"","{ .freq="&amp;Music!A185&amp;", .duration="&amp;Music!B185&amp;"},")</f>
        <v/>
      </c>
    </row>
    <row r="186" spans="1:1" x14ac:dyDescent="0.25">
      <c r="A186" t="str">
        <f>IF(OR(TRIM(Music!A186)="", TRIM(Music!B186)=""),"","{ .freq="&amp;Music!A186&amp;", .duration="&amp;Music!B186&amp;"},")</f>
        <v/>
      </c>
    </row>
    <row r="187" spans="1:1" x14ac:dyDescent="0.25">
      <c r="A187" t="str">
        <f>IF(OR(TRIM(Music!A187)="", TRIM(Music!B187)=""),"","{ .freq="&amp;Music!A187&amp;", .duration="&amp;Music!B187&amp;"},")</f>
        <v/>
      </c>
    </row>
    <row r="188" spans="1:1" x14ac:dyDescent="0.25">
      <c r="A188" t="str">
        <f>IF(OR(TRIM(Music!A188)="", TRIM(Music!B188)=""),"","{ .freq="&amp;Music!A188&amp;", .duration="&amp;Music!B188&amp;"},")</f>
        <v/>
      </c>
    </row>
    <row r="189" spans="1:1" x14ac:dyDescent="0.25">
      <c r="A189" t="str">
        <f>IF(OR(TRIM(Music!A189)="", TRIM(Music!B189)=""),"","{ .freq="&amp;Music!A189&amp;", .duration="&amp;Music!B189&amp;"},")</f>
        <v/>
      </c>
    </row>
    <row r="190" spans="1:1" x14ac:dyDescent="0.25">
      <c r="A190" t="str">
        <f>IF(OR(TRIM(Music!A190)="", TRIM(Music!B190)=""),"","{ .freq="&amp;Music!A190&amp;", .duration="&amp;Music!B190&amp;"},")</f>
        <v/>
      </c>
    </row>
    <row r="191" spans="1:1" x14ac:dyDescent="0.25">
      <c r="A191" t="str">
        <f>IF(OR(TRIM(Music!A191)="", TRIM(Music!B191)=""),"","{ .freq="&amp;Music!A191&amp;", .duration="&amp;Music!B191&amp;"},")</f>
        <v/>
      </c>
    </row>
    <row r="192" spans="1:1" x14ac:dyDescent="0.25">
      <c r="A192" t="str">
        <f>IF(OR(TRIM(Music!A192)="", TRIM(Music!B192)=""),"","{ .freq="&amp;Music!A192&amp;", .duration="&amp;Music!B192&amp;"},")</f>
        <v/>
      </c>
    </row>
    <row r="193" spans="1:1" x14ac:dyDescent="0.25">
      <c r="A193" t="str">
        <f>IF(OR(TRIM(Music!A193)="", TRIM(Music!B193)=""),"","{ .freq="&amp;Music!A193&amp;", .duration="&amp;Music!B193&amp;"},")</f>
        <v/>
      </c>
    </row>
    <row r="194" spans="1:1" x14ac:dyDescent="0.25">
      <c r="A194" t="str">
        <f>IF(OR(TRIM(Music!A194)="", TRIM(Music!B194)=""),"","{ .freq="&amp;Music!A194&amp;", .duration="&amp;Music!B194&amp;"},")</f>
        <v/>
      </c>
    </row>
    <row r="195" spans="1:1" x14ac:dyDescent="0.25">
      <c r="A195" t="str">
        <f>IF(OR(TRIM(Music!A195)="", TRIM(Music!B195)=""),"","{ .freq="&amp;Music!A195&amp;", .duration="&amp;Music!B195&amp;"},")</f>
        <v/>
      </c>
    </row>
    <row r="196" spans="1:1" x14ac:dyDescent="0.25">
      <c r="A196" t="str">
        <f>IF(OR(TRIM(Music!A196)="", TRIM(Music!B196)=""),"","{ .freq="&amp;Music!A196&amp;", .duration="&amp;Music!B196&amp;"},")</f>
        <v/>
      </c>
    </row>
    <row r="197" spans="1:1" x14ac:dyDescent="0.25">
      <c r="A197" t="str">
        <f>IF(OR(TRIM(Music!A197)="", TRIM(Music!B197)=""),"","{ .freq="&amp;Music!A197&amp;", .duration="&amp;Music!B197&amp;"},")</f>
        <v/>
      </c>
    </row>
    <row r="198" spans="1:1" x14ac:dyDescent="0.25">
      <c r="A198" t="str">
        <f>IF(OR(TRIM(Music!A198)="", TRIM(Music!B198)=""),"","{ .freq="&amp;Music!A198&amp;", .duration="&amp;Music!B198&amp;"},")</f>
        <v/>
      </c>
    </row>
    <row r="199" spans="1:1" x14ac:dyDescent="0.25">
      <c r="A199" t="str">
        <f>IF(OR(TRIM(Music!A199)="", TRIM(Music!B199)=""),"","{ .freq="&amp;Music!A199&amp;", .duration="&amp;Music!B199&amp;"},")</f>
        <v/>
      </c>
    </row>
    <row r="200" spans="1:1" x14ac:dyDescent="0.25">
      <c r="A200" t="str">
        <f>IF(OR(TRIM(Music!A200)="", TRIM(Music!B200)=""),"","{ .freq="&amp;Music!A200&amp;", .duration="&amp;Music!B200&amp;"},")</f>
        <v/>
      </c>
    </row>
    <row r="201" spans="1:1" x14ac:dyDescent="0.25">
      <c r="A201" t="str">
        <f>IF(OR(TRIM(Music!A201)="", TRIM(Music!B201)=""),"","{ .freq="&amp;Music!A201&amp;", .duration="&amp;Music!B201&amp;"},")</f>
        <v/>
      </c>
    </row>
    <row r="202" spans="1:1" x14ac:dyDescent="0.25">
      <c r="A202" t="str">
        <f>IF(OR(TRIM(Music!A202)="", TRIM(Music!B202)=""),"","{ .freq="&amp;Music!A202&amp;", .duration="&amp;Music!B202&amp;"},")</f>
        <v/>
      </c>
    </row>
    <row r="203" spans="1:1" x14ac:dyDescent="0.25">
      <c r="A203" t="str">
        <f>IF(OR(TRIM(Music!A203)="", TRIM(Music!B203)=""),"","{ .freq="&amp;Music!A203&amp;", .duration="&amp;Music!B203&amp;"},")</f>
        <v/>
      </c>
    </row>
    <row r="204" spans="1:1" x14ac:dyDescent="0.25">
      <c r="A204" t="str">
        <f>IF(OR(TRIM(Music!A204)="", TRIM(Music!B204)=""),"","{ .freq="&amp;Music!A204&amp;", .duration="&amp;Music!B204&amp;"},")</f>
        <v/>
      </c>
    </row>
    <row r="205" spans="1:1" x14ac:dyDescent="0.25">
      <c r="A205" t="str">
        <f>IF(OR(TRIM(Music!A205)="", TRIM(Music!B205)=""),"","{ .freq="&amp;Music!A205&amp;", .duration="&amp;Music!B205&amp;"},")</f>
        <v/>
      </c>
    </row>
    <row r="206" spans="1:1" x14ac:dyDescent="0.25">
      <c r="A206" t="str">
        <f>IF(OR(TRIM(Music!A206)="", TRIM(Music!B206)=""),"","{ .freq="&amp;Music!A206&amp;", .duration="&amp;Music!B206&amp;"},")</f>
        <v/>
      </c>
    </row>
    <row r="207" spans="1:1" x14ac:dyDescent="0.25">
      <c r="A207" t="str">
        <f>IF(OR(TRIM(Music!A207)="", TRIM(Music!B207)=""),"","{ .freq="&amp;Music!A207&amp;", .duration="&amp;Music!B207&amp;"},")</f>
        <v/>
      </c>
    </row>
    <row r="208" spans="1:1" x14ac:dyDescent="0.25">
      <c r="A208" t="str">
        <f>IF(OR(TRIM(Music!A208)="", TRIM(Music!B208)=""),"","{ .freq="&amp;Music!A208&amp;", .duration="&amp;Music!B208&amp;"},")</f>
        <v/>
      </c>
    </row>
    <row r="209" spans="1:1" x14ac:dyDescent="0.25">
      <c r="A209" t="str">
        <f>IF(OR(TRIM(Music!A209)="", TRIM(Music!B209)=""),"","{ .freq="&amp;Music!A209&amp;", .duration="&amp;Music!B209&amp;"},")</f>
        <v/>
      </c>
    </row>
    <row r="210" spans="1:1" x14ac:dyDescent="0.25">
      <c r="A210" t="str">
        <f>IF(OR(TRIM(Music!A210)="", TRIM(Music!B210)=""),"","{ .freq="&amp;Music!A210&amp;", .duration="&amp;Music!B210&amp;"},")</f>
        <v/>
      </c>
    </row>
    <row r="211" spans="1:1" x14ac:dyDescent="0.25">
      <c r="A211" t="str">
        <f>IF(OR(TRIM(Music!A211)="", TRIM(Music!B211)=""),"","{ .freq="&amp;Music!A211&amp;", .duration="&amp;Music!B211&amp;"},")</f>
        <v/>
      </c>
    </row>
    <row r="212" spans="1:1" x14ac:dyDescent="0.25">
      <c r="A212" t="str">
        <f>IF(OR(TRIM(Music!A212)="", TRIM(Music!B212)=""),"","{ .freq="&amp;Music!A212&amp;", .duration="&amp;Music!B212&amp;"},")</f>
        <v/>
      </c>
    </row>
    <row r="213" spans="1:1" x14ac:dyDescent="0.25">
      <c r="A213" t="str">
        <f>IF(OR(TRIM(Music!A213)="", TRIM(Music!B213)=""),"","{ .freq="&amp;Music!A213&amp;", .duration="&amp;Music!B213&amp;"},")</f>
        <v/>
      </c>
    </row>
    <row r="214" spans="1:1" x14ac:dyDescent="0.25">
      <c r="A214" t="str">
        <f>IF(OR(TRIM(Music!A214)="", TRIM(Music!B214)=""),"","{ .freq="&amp;Music!A214&amp;", .duration="&amp;Music!B214&amp;"},")</f>
        <v/>
      </c>
    </row>
    <row r="215" spans="1:1" x14ac:dyDescent="0.25">
      <c r="A215" t="str">
        <f>IF(OR(TRIM(Music!A215)="", TRIM(Music!B215)=""),"","{ .freq="&amp;Music!A215&amp;", .duration="&amp;Music!B215&amp;"},")</f>
        <v/>
      </c>
    </row>
    <row r="216" spans="1:1" x14ac:dyDescent="0.25">
      <c r="A216" t="str">
        <f>IF(OR(TRIM(Music!A216)="", TRIM(Music!B216)=""),"","{ .freq="&amp;Music!A216&amp;", .duration="&amp;Music!B216&amp;"},")</f>
        <v/>
      </c>
    </row>
    <row r="217" spans="1:1" x14ac:dyDescent="0.25">
      <c r="A217" t="str">
        <f>IF(OR(TRIM(Music!A217)="", TRIM(Music!B217)=""),"","{ .freq="&amp;Music!A217&amp;", .duration="&amp;Music!B217&amp;"},")</f>
        <v/>
      </c>
    </row>
    <row r="218" spans="1:1" x14ac:dyDescent="0.25">
      <c r="A218" t="str">
        <f>IF(OR(TRIM(Music!A218)="", TRIM(Music!B218)=""),"","{ .freq="&amp;Music!A218&amp;", .duration="&amp;Music!B218&amp;"},")</f>
        <v/>
      </c>
    </row>
    <row r="219" spans="1:1" x14ac:dyDescent="0.25">
      <c r="A219" t="str">
        <f>IF(OR(TRIM(Music!A219)="", TRIM(Music!B219)=""),"","{ .freq="&amp;Music!A219&amp;", .duration="&amp;Music!B219&amp;"},")</f>
        <v/>
      </c>
    </row>
    <row r="220" spans="1:1" x14ac:dyDescent="0.25">
      <c r="A220" t="str">
        <f>IF(OR(TRIM(Music!A220)="", TRIM(Music!B220)=""),"","{ .freq="&amp;Music!A220&amp;", .duration="&amp;Music!B220&amp;"},")</f>
        <v/>
      </c>
    </row>
    <row r="221" spans="1:1" x14ac:dyDescent="0.25">
      <c r="A221" t="str">
        <f>IF(OR(TRIM(Music!A221)="", TRIM(Music!B221)=""),"","{ .freq="&amp;Music!A221&amp;", .duration="&amp;Music!B221&amp;"},")</f>
        <v/>
      </c>
    </row>
    <row r="222" spans="1:1" x14ac:dyDescent="0.25">
      <c r="A222" t="str">
        <f>IF(OR(TRIM(Music!A222)="", TRIM(Music!B222)=""),"","{ .freq="&amp;Music!A222&amp;", .duration="&amp;Music!B222&amp;"},")</f>
        <v/>
      </c>
    </row>
    <row r="223" spans="1:1" x14ac:dyDescent="0.25">
      <c r="A223" t="str">
        <f>IF(OR(TRIM(Music!A223)="", TRIM(Music!B223)=""),"","{ .freq="&amp;Music!A223&amp;", .duration="&amp;Music!B223&amp;"},")</f>
        <v/>
      </c>
    </row>
    <row r="224" spans="1:1" x14ac:dyDescent="0.25">
      <c r="A224" t="str">
        <f>IF(OR(TRIM(Music!A224)="", TRIM(Music!B224)=""),"","{ .freq="&amp;Music!A224&amp;", .duration="&amp;Music!B224&amp;"},")</f>
        <v/>
      </c>
    </row>
    <row r="225" spans="1:1" x14ac:dyDescent="0.25">
      <c r="A225" t="str">
        <f>IF(OR(TRIM(Music!A225)="", TRIM(Music!B225)=""),"","{ .freq="&amp;Music!A225&amp;", .duration="&amp;Music!B225&amp;"},")</f>
        <v/>
      </c>
    </row>
    <row r="226" spans="1:1" x14ac:dyDescent="0.25">
      <c r="A226" t="str">
        <f>IF(OR(TRIM(Music!A226)="", TRIM(Music!B226)=""),"","{ .freq="&amp;Music!A226&amp;", .duration="&amp;Music!B226&amp;"},")</f>
        <v/>
      </c>
    </row>
    <row r="227" spans="1:1" x14ac:dyDescent="0.25">
      <c r="A227" t="str">
        <f>IF(OR(TRIM(Music!A227)="", TRIM(Music!B227)=""),"","{ .freq="&amp;Music!A227&amp;", .duration="&amp;Music!B227&amp;"},")</f>
        <v/>
      </c>
    </row>
    <row r="228" spans="1:1" x14ac:dyDescent="0.25">
      <c r="A228" t="str">
        <f>IF(OR(TRIM(Music!A228)="", TRIM(Music!B228)=""),"","{ .freq="&amp;Music!A228&amp;", .duration="&amp;Music!B228&amp;"},")</f>
        <v/>
      </c>
    </row>
    <row r="229" spans="1:1" x14ac:dyDescent="0.25">
      <c r="A229" t="str">
        <f>IF(OR(TRIM(Music!A229)="", TRIM(Music!B229)=""),"","{ .freq="&amp;Music!A229&amp;", .duration="&amp;Music!B229&amp;"},")</f>
        <v/>
      </c>
    </row>
    <row r="230" spans="1:1" x14ac:dyDescent="0.25">
      <c r="A230" t="str">
        <f>IF(OR(TRIM(Music!A230)="", TRIM(Music!B230)=""),"","{ .freq="&amp;Music!A230&amp;", .duration="&amp;Music!B230&amp;"},")</f>
        <v/>
      </c>
    </row>
    <row r="231" spans="1:1" x14ac:dyDescent="0.25">
      <c r="A231" t="str">
        <f>IF(OR(TRIM(Music!A231)="", TRIM(Music!B231)=""),"","{ .freq="&amp;Music!A231&amp;", .duration="&amp;Music!B231&amp;"},")</f>
        <v/>
      </c>
    </row>
    <row r="232" spans="1:1" x14ac:dyDescent="0.25">
      <c r="A232" t="str">
        <f>IF(OR(TRIM(Music!A232)="", TRIM(Music!B232)=""),"","{ .freq="&amp;Music!A232&amp;", .duration="&amp;Music!B232&amp;"},")</f>
        <v/>
      </c>
    </row>
    <row r="233" spans="1:1" x14ac:dyDescent="0.25">
      <c r="A233" t="str">
        <f>IF(OR(TRIM(Music!A233)="", TRIM(Music!B233)=""),"","{ .freq="&amp;Music!A233&amp;", .duration="&amp;Music!B233&amp;"},")</f>
        <v/>
      </c>
    </row>
    <row r="234" spans="1:1" x14ac:dyDescent="0.25">
      <c r="A234" t="str">
        <f>IF(OR(TRIM(Music!A234)="", TRIM(Music!B234)=""),"","{ .freq="&amp;Music!A234&amp;", .duration="&amp;Music!B234&amp;"},")</f>
        <v/>
      </c>
    </row>
    <row r="235" spans="1:1" x14ac:dyDescent="0.25">
      <c r="A235" t="str">
        <f>IF(OR(TRIM(Music!A235)="", TRIM(Music!B235)=""),"","{ .freq="&amp;Music!A235&amp;", .duration="&amp;Music!B235&amp;"},")</f>
        <v/>
      </c>
    </row>
    <row r="236" spans="1:1" x14ac:dyDescent="0.25">
      <c r="A236" t="str">
        <f>IF(OR(TRIM(Music!A236)="", TRIM(Music!B236)=""),"","{ .freq="&amp;Music!A236&amp;", .duration="&amp;Music!B236&amp;"},")</f>
        <v/>
      </c>
    </row>
    <row r="237" spans="1:1" x14ac:dyDescent="0.25">
      <c r="A237" t="str">
        <f>IF(OR(TRIM(Music!A237)="", TRIM(Music!B237)=""),"","{ .freq="&amp;Music!A237&amp;", .duration="&amp;Music!B237&amp;"},")</f>
        <v/>
      </c>
    </row>
    <row r="238" spans="1:1" x14ac:dyDescent="0.25">
      <c r="A238" t="str">
        <f>IF(OR(TRIM(Music!A238)="", TRIM(Music!B238)=""),"","{ .freq="&amp;Music!A238&amp;", .duration="&amp;Music!B238&amp;"},")</f>
        <v/>
      </c>
    </row>
    <row r="239" spans="1:1" x14ac:dyDescent="0.25">
      <c r="A239" t="str">
        <f>IF(OR(TRIM(Music!A239)="", TRIM(Music!B239)=""),"","{ .freq="&amp;Music!A239&amp;", .duration="&amp;Music!B239&amp;"},")</f>
        <v/>
      </c>
    </row>
    <row r="240" spans="1:1" x14ac:dyDescent="0.25">
      <c r="A240" t="str">
        <f>IF(OR(TRIM(Music!A240)="", TRIM(Music!B240)=""),"","{ .freq="&amp;Music!A240&amp;", .duration="&amp;Music!B240&amp;"},")</f>
        <v/>
      </c>
    </row>
    <row r="241" spans="1:1" x14ac:dyDescent="0.25">
      <c r="A241" t="str">
        <f>IF(OR(TRIM(Music!A241)="", TRIM(Music!B241)=""),"","{ .freq="&amp;Music!A241&amp;", .duration="&amp;Music!B241&amp;"},")</f>
        <v/>
      </c>
    </row>
    <row r="242" spans="1:1" x14ac:dyDescent="0.25">
      <c r="A242" t="str">
        <f>IF(OR(TRIM(Music!A242)="", TRIM(Music!B242)=""),"","{ .freq="&amp;Music!A242&amp;", .duration="&amp;Music!B242&amp;"},")</f>
        <v/>
      </c>
    </row>
    <row r="243" spans="1:1" x14ac:dyDescent="0.25">
      <c r="A243" t="str">
        <f>IF(OR(TRIM(Music!A243)="", TRIM(Music!B243)=""),"","{ .freq="&amp;Music!A243&amp;", .duration="&amp;Music!B243&amp;"},")</f>
        <v/>
      </c>
    </row>
    <row r="244" spans="1:1" x14ac:dyDescent="0.25">
      <c r="A244" t="str">
        <f>IF(OR(TRIM(Music!A244)="", TRIM(Music!B244)=""),"","{ .freq="&amp;Music!A244&amp;", .duration="&amp;Music!B244&amp;"},")</f>
        <v/>
      </c>
    </row>
    <row r="245" spans="1:1" x14ac:dyDescent="0.25">
      <c r="A245" t="str">
        <f>IF(OR(TRIM(Music!A245)="", TRIM(Music!B245)=""),"","{ .freq="&amp;Music!A245&amp;", .duration="&amp;Music!B245&amp;"},")</f>
        <v/>
      </c>
    </row>
    <row r="246" spans="1:1" x14ac:dyDescent="0.25">
      <c r="A246" t="str">
        <f>IF(OR(TRIM(Music!A246)="", TRIM(Music!B246)=""),"","{ .freq="&amp;Music!A246&amp;", .duration="&amp;Music!B246&amp;"},")</f>
        <v/>
      </c>
    </row>
    <row r="247" spans="1:1" x14ac:dyDescent="0.25">
      <c r="A247" t="str">
        <f>IF(OR(TRIM(Music!A247)="", TRIM(Music!B247)=""),"","{ .freq="&amp;Music!A247&amp;", .duration="&amp;Music!B247&amp;"},")</f>
        <v/>
      </c>
    </row>
    <row r="248" spans="1:1" x14ac:dyDescent="0.25">
      <c r="A248" t="str">
        <f>IF(OR(TRIM(Music!A248)="", TRIM(Music!B248)=""),"","{ .freq="&amp;Music!A248&amp;", .duration="&amp;Music!B248&amp;"},")</f>
        <v/>
      </c>
    </row>
    <row r="249" spans="1:1" x14ac:dyDescent="0.25">
      <c r="A249" t="str">
        <f>IF(OR(TRIM(Music!A249)="", TRIM(Music!B249)=""),"","{ .freq="&amp;Music!A249&amp;", .duration="&amp;Music!B249&amp;"},")</f>
        <v/>
      </c>
    </row>
    <row r="250" spans="1:1" x14ac:dyDescent="0.25">
      <c r="A250" t="str">
        <f>IF(OR(TRIM(Music!A250)="", TRIM(Music!B250)=""),"","{ .freq="&amp;Music!A250&amp;", .duration="&amp;Music!B250&amp;"},")</f>
        <v/>
      </c>
    </row>
    <row r="251" spans="1:1" x14ac:dyDescent="0.25">
      <c r="A251" t="str">
        <f>IF(OR(TRIM(Music!A251)="", TRIM(Music!B251)=""),"","{ .freq="&amp;Music!A251&amp;", .duration="&amp;Music!B251&amp;"},")</f>
        <v/>
      </c>
    </row>
    <row r="252" spans="1:1" x14ac:dyDescent="0.25">
      <c r="A252" t="str">
        <f>IF(OR(TRIM(Music!A252)="", TRIM(Music!B252)=""),"","{ .freq="&amp;Music!A252&amp;", .duration="&amp;Music!B252&amp;"},")</f>
        <v/>
      </c>
    </row>
    <row r="253" spans="1:1" x14ac:dyDescent="0.25">
      <c r="A253" t="str">
        <f>IF(OR(TRIM(Music!A253)="", TRIM(Music!B253)=""),"","{ .freq="&amp;Music!A253&amp;", .duration="&amp;Music!B253&amp;"},")</f>
        <v/>
      </c>
    </row>
    <row r="254" spans="1:1" x14ac:dyDescent="0.25">
      <c r="A254" t="str">
        <f>IF(OR(TRIM(Music!A254)="", TRIM(Music!B254)=""),"","{ .freq="&amp;Music!A254&amp;", .duration="&amp;Music!B254&amp;"},")</f>
        <v/>
      </c>
    </row>
    <row r="255" spans="1:1" x14ac:dyDescent="0.25">
      <c r="A255" t="str">
        <f>IF(OR(TRIM(Music!A255)="", TRIM(Music!B255)=""),"","{ .freq="&amp;Music!A255&amp;", .duration="&amp;Music!B255&amp;"},")</f>
        <v/>
      </c>
    </row>
    <row r="256" spans="1:1" x14ac:dyDescent="0.25">
      <c r="A256" t="str">
        <f>IF(OR(TRIM(Music!A256)="", TRIM(Music!B256)=""),"","{ .freq="&amp;Music!A256&amp;", .duration="&amp;Music!B256&amp;"},")</f>
        <v/>
      </c>
    </row>
    <row r="257" spans="1:1" x14ac:dyDescent="0.25">
      <c r="A257" t="str">
        <f>IF(OR(TRIM(Music!A257)="", TRIM(Music!B257)=""),"","{ .freq="&amp;Music!A257&amp;", .duration="&amp;Music!B257&amp;"},")</f>
        <v/>
      </c>
    </row>
    <row r="258" spans="1:1" x14ac:dyDescent="0.25">
      <c r="A258" t="str">
        <f>IF(OR(TRIM(Music!A258)="", TRIM(Music!B258)=""),"","{ .freq="&amp;Music!A258&amp;", .duration="&amp;Music!B258&amp;"},")</f>
        <v/>
      </c>
    </row>
    <row r="259" spans="1:1" x14ac:dyDescent="0.25">
      <c r="A259" t="str">
        <f>IF(OR(TRIM(Music!A259)="", TRIM(Music!B259)=""),"","{ .freq="&amp;Music!A259&amp;", .duration="&amp;Music!B259&amp;"},")</f>
        <v/>
      </c>
    </row>
    <row r="260" spans="1:1" x14ac:dyDescent="0.25">
      <c r="A260" t="str">
        <f>IF(OR(TRIM(Music!A260)="", TRIM(Music!B260)=""),"","{ .freq="&amp;Music!A260&amp;", .duration="&amp;Music!B260&amp;"},")</f>
        <v/>
      </c>
    </row>
    <row r="261" spans="1:1" x14ac:dyDescent="0.25">
      <c r="A261" t="str">
        <f>IF(OR(TRIM(Music!A261)="", TRIM(Music!B261)=""),"","{ .freq="&amp;Music!A261&amp;", .duration="&amp;Music!B261&amp;"},")</f>
        <v/>
      </c>
    </row>
    <row r="262" spans="1:1" x14ac:dyDescent="0.25">
      <c r="A262" t="str">
        <f>IF(OR(TRIM(Music!A262)="", TRIM(Music!B262)=""),"","{ .freq="&amp;Music!A262&amp;", .duration="&amp;Music!B262&amp;"},")</f>
        <v/>
      </c>
    </row>
    <row r="263" spans="1:1" x14ac:dyDescent="0.25">
      <c r="A263" t="str">
        <f>IF(OR(TRIM(Music!A263)="", TRIM(Music!B263)=""),"","{ .freq="&amp;Music!A263&amp;", .duration="&amp;Music!B263&amp;"},")</f>
        <v/>
      </c>
    </row>
    <row r="264" spans="1:1" x14ac:dyDescent="0.25">
      <c r="A264" t="str">
        <f>IF(OR(TRIM(Music!A264)="", TRIM(Music!B264)=""),"","{ .freq="&amp;Music!A264&amp;", .duration="&amp;Music!B264&amp;"},")</f>
        <v/>
      </c>
    </row>
    <row r="265" spans="1:1" x14ac:dyDescent="0.25">
      <c r="A265" t="str">
        <f>IF(OR(TRIM(Music!A265)="", TRIM(Music!B265)=""),"","{ .freq="&amp;Music!A265&amp;", .duration="&amp;Music!B265&amp;"},")</f>
        <v/>
      </c>
    </row>
    <row r="266" spans="1:1" x14ac:dyDescent="0.25">
      <c r="A266" t="str">
        <f>IF(OR(TRIM(Music!A266)="", TRIM(Music!B266)=""),"","{ .freq="&amp;Music!A266&amp;", .duration="&amp;Music!B266&amp;"},")</f>
        <v/>
      </c>
    </row>
    <row r="267" spans="1:1" x14ac:dyDescent="0.25">
      <c r="A267" t="str">
        <f>IF(OR(TRIM(Music!A267)="", TRIM(Music!B267)=""),"","{ .freq="&amp;Music!A267&amp;", .duration="&amp;Music!B267&amp;"},")</f>
        <v/>
      </c>
    </row>
    <row r="268" spans="1:1" x14ac:dyDescent="0.25">
      <c r="A268" t="str">
        <f>IF(OR(TRIM(Music!A268)="", TRIM(Music!B268)=""),"","{ .freq="&amp;Music!A268&amp;", .duration="&amp;Music!B268&amp;"},")</f>
        <v/>
      </c>
    </row>
    <row r="269" spans="1:1" x14ac:dyDescent="0.25">
      <c r="A269" t="str">
        <f>IF(OR(TRIM(Music!A269)="", TRIM(Music!B269)=""),"","{ .freq="&amp;Music!A269&amp;", .duration="&amp;Music!B269&amp;"},")</f>
        <v/>
      </c>
    </row>
    <row r="270" spans="1:1" x14ac:dyDescent="0.25">
      <c r="A270" t="str">
        <f>IF(OR(TRIM(Music!A270)="", TRIM(Music!B270)=""),"","{ .freq="&amp;Music!A270&amp;", .duration="&amp;Music!B270&amp;"},")</f>
        <v/>
      </c>
    </row>
    <row r="271" spans="1:1" x14ac:dyDescent="0.25">
      <c r="A271" t="str">
        <f>IF(OR(TRIM(Music!A271)="", TRIM(Music!B271)=""),"","{ .freq="&amp;Music!A271&amp;", .duration="&amp;Music!B271&amp;"},")</f>
        <v/>
      </c>
    </row>
    <row r="272" spans="1:1" x14ac:dyDescent="0.25">
      <c r="A272" t="str">
        <f>IF(OR(TRIM(Music!A272)="", TRIM(Music!B272)=""),"","{ .freq="&amp;Music!A272&amp;", .duration="&amp;Music!B272&amp;"},")</f>
        <v/>
      </c>
    </row>
    <row r="273" spans="1:1" x14ac:dyDescent="0.25">
      <c r="A273" t="str">
        <f>IF(OR(TRIM(Music!A273)="", TRIM(Music!B273)=""),"","{ .freq="&amp;Music!A273&amp;", .duration="&amp;Music!B273&amp;"},")</f>
        <v/>
      </c>
    </row>
    <row r="274" spans="1:1" x14ac:dyDescent="0.25">
      <c r="A274" t="str">
        <f>IF(OR(TRIM(Music!A274)="", TRIM(Music!B274)=""),"","{ .freq="&amp;Music!A274&amp;", .duration="&amp;Music!B274&amp;"},")</f>
        <v/>
      </c>
    </row>
    <row r="275" spans="1:1" x14ac:dyDescent="0.25">
      <c r="A275" t="str">
        <f>IF(OR(TRIM(Music!A275)="", TRIM(Music!B275)=""),"","{ .freq="&amp;Music!A275&amp;", .duration="&amp;Music!B275&amp;"},")</f>
        <v/>
      </c>
    </row>
    <row r="276" spans="1:1" x14ac:dyDescent="0.25">
      <c r="A276" t="str">
        <f>IF(OR(TRIM(Music!A276)="", TRIM(Music!B276)=""),"","{ .freq="&amp;Music!A276&amp;", .duration="&amp;Music!B276&amp;"},")</f>
        <v/>
      </c>
    </row>
    <row r="277" spans="1:1" x14ac:dyDescent="0.25">
      <c r="A277" t="str">
        <f>IF(OR(TRIM(Music!A277)="", TRIM(Music!B277)=""),"","{ .freq="&amp;Music!A277&amp;", .duration="&amp;Music!B277&amp;"},")</f>
        <v/>
      </c>
    </row>
    <row r="278" spans="1:1" x14ac:dyDescent="0.25">
      <c r="A278" t="str">
        <f>IF(OR(TRIM(Music!A278)="", TRIM(Music!B278)=""),"","{ .freq="&amp;Music!A278&amp;", .duration="&amp;Music!B278&amp;"},")</f>
        <v/>
      </c>
    </row>
    <row r="279" spans="1:1" x14ac:dyDescent="0.25">
      <c r="A279" t="str">
        <f>IF(OR(TRIM(Music!A279)="", TRIM(Music!B279)=""),"","{ .freq="&amp;Music!A279&amp;", .duration="&amp;Music!B279&amp;"},")</f>
        <v/>
      </c>
    </row>
    <row r="280" spans="1:1" x14ac:dyDescent="0.25">
      <c r="A280" t="str">
        <f>IF(OR(TRIM(Music!A280)="", TRIM(Music!B280)=""),"","{ .freq="&amp;Music!A280&amp;", .duration="&amp;Music!B280&amp;"},")</f>
        <v/>
      </c>
    </row>
    <row r="281" spans="1:1" x14ac:dyDescent="0.25">
      <c r="A281" t="str">
        <f>IF(OR(TRIM(Music!A281)="", TRIM(Music!B281)=""),"","{ .freq="&amp;Music!A281&amp;", .duration="&amp;Music!B281&amp;"},")</f>
        <v/>
      </c>
    </row>
    <row r="282" spans="1:1" x14ac:dyDescent="0.25">
      <c r="A282" t="str">
        <f>IF(OR(TRIM(Music!A282)="", TRIM(Music!B282)=""),"","{ .freq="&amp;Music!A282&amp;", .duration="&amp;Music!B282&amp;"},")</f>
        <v/>
      </c>
    </row>
    <row r="283" spans="1:1" x14ac:dyDescent="0.25">
      <c r="A283" t="str">
        <f>IF(OR(TRIM(Music!A283)="", TRIM(Music!B283)=""),"","{ .freq="&amp;Music!A283&amp;", .duration="&amp;Music!B283&amp;"},")</f>
        <v/>
      </c>
    </row>
    <row r="284" spans="1:1" x14ac:dyDescent="0.25">
      <c r="A284" t="str">
        <f>IF(OR(TRIM(Music!A284)="", TRIM(Music!B284)=""),"","{ .freq="&amp;Music!A284&amp;", .duration="&amp;Music!B284&amp;"},")</f>
        <v/>
      </c>
    </row>
    <row r="285" spans="1:1" x14ac:dyDescent="0.25">
      <c r="A285" t="str">
        <f>IF(OR(TRIM(Music!A285)="", TRIM(Music!B285)=""),"","{ .freq="&amp;Music!A285&amp;", .duration="&amp;Music!B285&amp;"},")</f>
        <v/>
      </c>
    </row>
    <row r="286" spans="1:1" x14ac:dyDescent="0.25">
      <c r="A286" t="str">
        <f>IF(OR(TRIM(Music!A286)="", TRIM(Music!B286)=""),"","{ .freq="&amp;Music!A286&amp;", .duration="&amp;Music!B286&amp;"},")</f>
        <v/>
      </c>
    </row>
    <row r="287" spans="1:1" x14ac:dyDescent="0.25">
      <c r="A287" t="str">
        <f>IF(OR(TRIM(Music!A287)="", TRIM(Music!B287)=""),"","{ .freq="&amp;Music!A287&amp;", .duration="&amp;Music!B287&amp;"},")</f>
        <v/>
      </c>
    </row>
    <row r="288" spans="1:1" x14ac:dyDescent="0.25">
      <c r="A288" t="str">
        <f>IF(OR(TRIM(Music!A288)="", TRIM(Music!B288)=""),"","{ .freq="&amp;Music!A288&amp;", .duration="&amp;Music!B288&amp;"},")</f>
        <v/>
      </c>
    </row>
    <row r="289" spans="1:1" x14ac:dyDescent="0.25">
      <c r="A289" t="str">
        <f>IF(OR(TRIM(Music!A289)="", TRIM(Music!B289)=""),"","{ .freq="&amp;Music!A289&amp;", .duration="&amp;Music!B289&amp;"},")</f>
        <v/>
      </c>
    </row>
    <row r="290" spans="1:1" x14ac:dyDescent="0.25">
      <c r="A290" t="str">
        <f>IF(OR(TRIM(Music!A290)="", TRIM(Music!B290)=""),"","{ .freq="&amp;Music!A290&amp;", .duration="&amp;Music!B290&amp;"},")</f>
        <v/>
      </c>
    </row>
    <row r="291" spans="1:1" x14ac:dyDescent="0.25">
      <c r="A291" t="str">
        <f>IF(OR(TRIM(Music!A291)="", TRIM(Music!B291)=""),"","{ .freq="&amp;Music!A291&amp;", .duration="&amp;Music!B291&amp;"},")</f>
        <v/>
      </c>
    </row>
    <row r="292" spans="1:1" x14ac:dyDescent="0.25">
      <c r="A292" t="str">
        <f>IF(OR(TRIM(Music!A292)="", TRIM(Music!B292)=""),"","{ .freq="&amp;Music!A292&amp;", .duration="&amp;Music!B292&amp;"},")</f>
        <v/>
      </c>
    </row>
    <row r="293" spans="1:1" x14ac:dyDescent="0.25">
      <c r="A293" t="str">
        <f>IF(OR(TRIM(Music!A293)="", TRIM(Music!B293)=""),"","{ .freq="&amp;Music!A293&amp;", .duration="&amp;Music!B293&amp;"},")</f>
        <v/>
      </c>
    </row>
    <row r="294" spans="1:1" x14ac:dyDescent="0.25">
      <c r="A294" t="str">
        <f>IF(OR(TRIM(Music!A294)="", TRIM(Music!B294)=""),"","{ .freq="&amp;Music!A294&amp;", .duration="&amp;Music!B294&amp;"},")</f>
        <v/>
      </c>
    </row>
    <row r="295" spans="1:1" x14ac:dyDescent="0.25">
      <c r="A295" t="str">
        <f>IF(OR(TRIM(Music!A295)="", TRIM(Music!B295)=""),"","{ .freq="&amp;Music!A295&amp;", .duration="&amp;Music!B295&amp;"},")</f>
        <v/>
      </c>
    </row>
    <row r="296" spans="1:1" x14ac:dyDescent="0.25">
      <c r="A296" t="str">
        <f>IF(OR(TRIM(Music!A296)="", TRIM(Music!B296)=""),"","{ .freq="&amp;Music!A296&amp;", .duration="&amp;Music!B296&amp;"},")</f>
        <v/>
      </c>
    </row>
    <row r="297" spans="1:1" x14ac:dyDescent="0.25">
      <c r="A297" t="str">
        <f>IF(OR(TRIM(Music!A297)="", TRIM(Music!B297)=""),"","{ .freq="&amp;Music!A297&amp;", .duration="&amp;Music!B297&amp;"},")</f>
        <v/>
      </c>
    </row>
    <row r="298" spans="1:1" x14ac:dyDescent="0.25">
      <c r="A298" t="str">
        <f>IF(OR(TRIM(Music!A298)="", TRIM(Music!B298)=""),"","{ .freq="&amp;Music!A298&amp;", .duration="&amp;Music!B298&amp;"},")</f>
        <v/>
      </c>
    </row>
    <row r="299" spans="1:1" x14ac:dyDescent="0.25">
      <c r="A299" t="str">
        <f>IF(OR(TRIM(Music!A299)="", TRIM(Music!B299)=""),"","{ .freq="&amp;Music!A299&amp;", .duration="&amp;Music!B299&amp;"},")</f>
        <v/>
      </c>
    </row>
    <row r="300" spans="1:1" x14ac:dyDescent="0.25">
      <c r="A300" t="str">
        <f>IF(OR(TRIM(Music!A300)="", TRIM(Music!B300)=""),"","{ .freq="&amp;Music!A300&amp;", .duration="&amp;Music!B300&amp;"},")</f>
        <v/>
      </c>
    </row>
    <row r="301" spans="1:1" x14ac:dyDescent="0.25">
      <c r="A301" t="str">
        <f>IF(OR(TRIM(Music!A301)="", TRIM(Music!B301)=""),"","{ .freq="&amp;Music!A301&amp;", .duration="&amp;Music!B301&amp;"},")</f>
        <v/>
      </c>
    </row>
    <row r="302" spans="1:1" x14ac:dyDescent="0.25">
      <c r="A302" t="str">
        <f>IF(OR(TRIM(Music!A302)="", TRIM(Music!B302)=""),"","{ .freq="&amp;Music!A302&amp;", .duration="&amp;Music!B302&amp;"},")</f>
        <v/>
      </c>
    </row>
    <row r="303" spans="1:1" x14ac:dyDescent="0.25">
      <c r="A303" t="str">
        <f>IF(OR(TRIM(Music!A303)="", TRIM(Music!B303)=""),"","{ .freq="&amp;Music!A303&amp;", .duration="&amp;Music!B303&amp;"},")</f>
        <v/>
      </c>
    </row>
    <row r="304" spans="1:1" x14ac:dyDescent="0.25">
      <c r="A304" t="str">
        <f>IF(OR(TRIM(Music!A304)="", TRIM(Music!B304)=""),"","{ .freq="&amp;Music!A304&amp;", .duration="&amp;Music!B304&amp;"},")</f>
        <v/>
      </c>
    </row>
    <row r="305" spans="1:1" x14ac:dyDescent="0.25">
      <c r="A305" t="str">
        <f>IF(OR(TRIM(Music!A305)="", TRIM(Music!B305)=""),"","{ .freq="&amp;Music!A305&amp;", .duration="&amp;Music!B305&amp;"},")</f>
        <v/>
      </c>
    </row>
    <row r="306" spans="1:1" x14ac:dyDescent="0.25">
      <c r="A306" t="str">
        <f>IF(OR(TRIM(Music!A306)="", TRIM(Music!B306)=""),"","{ .freq="&amp;Music!A306&amp;", .duration="&amp;Music!B306&amp;"},")</f>
        <v/>
      </c>
    </row>
    <row r="307" spans="1:1" x14ac:dyDescent="0.25">
      <c r="A307" t="str">
        <f>IF(OR(TRIM(Music!A307)="", TRIM(Music!B307)=""),"","{ .freq="&amp;Music!A307&amp;", .duration="&amp;Music!B307&amp;"},")</f>
        <v/>
      </c>
    </row>
    <row r="308" spans="1:1" x14ac:dyDescent="0.25">
      <c r="A308" t="str">
        <f>IF(OR(TRIM(Music!A308)="", TRIM(Music!B308)=""),"","{ .freq="&amp;Music!A308&amp;", .duration="&amp;Music!B308&amp;"},")</f>
        <v/>
      </c>
    </row>
    <row r="309" spans="1:1" x14ac:dyDescent="0.25">
      <c r="A309" t="str">
        <f>IF(OR(TRIM(Music!A309)="", TRIM(Music!B309)=""),"","{ .freq="&amp;Music!A309&amp;", .duration="&amp;Music!B309&amp;"},")</f>
        <v/>
      </c>
    </row>
    <row r="310" spans="1:1" x14ac:dyDescent="0.25">
      <c r="A310" t="str">
        <f>IF(OR(TRIM(Music!A310)="", TRIM(Music!B310)=""),"","{ .freq="&amp;Music!A310&amp;", .duration="&amp;Music!B310&amp;"},")</f>
        <v/>
      </c>
    </row>
    <row r="311" spans="1:1" x14ac:dyDescent="0.25">
      <c r="A311" t="str">
        <f>IF(OR(TRIM(Music!A311)="", TRIM(Music!B311)=""),"","{ .freq="&amp;Music!A311&amp;", .duration="&amp;Music!B311&amp;"},")</f>
        <v/>
      </c>
    </row>
    <row r="312" spans="1:1" x14ac:dyDescent="0.25">
      <c r="A312" t="str">
        <f>IF(OR(TRIM(Music!A312)="", TRIM(Music!B312)=""),"","{ .freq="&amp;Music!A312&amp;", .duration="&amp;Music!B312&amp;"},")</f>
        <v/>
      </c>
    </row>
    <row r="313" spans="1:1" x14ac:dyDescent="0.25">
      <c r="A313" t="str">
        <f>IF(OR(TRIM(Music!A313)="", TRIM(Music!B313)=""),"","{ .freq="&amp;Music!A313&amp;", .duration="&amp;Music!B313&amp;"},")</f>
        <v/>
      </c>
    </row>
    <row r="314" spans="1:1" x14ac:dyDescent="0.25">
      <c r="A314" t="str">
        <f>IF(OR(TRIM(Music!A314)="", TRIM(Music!B314)=""),"","{ .freq="&amp;Music!A314&amp;", .duration="&amp;Music!B314&amp;"},")</f>
        <v/>
      </c>
    </row>
    <row r="315" spans="1:1" x14ac:dyDescent="0.25">
      <c r="A315" t="str">
        <f>IF(OR(TRIM(Music!A315)="", TRIM(Music!B315)=""),"","{ .freq="&amp;Music!A315&amp;", .duration="&amp;Music!B315&amp;"},")</f>
        <v/>
      </c>
    </row>
    <row r="316" spans="1:1" x14ac:dyDescent="0.25">
      <c r="A316" t="str">
        <f>IF(OR(TRIM(Music!A316)="", TRIM(Music!B316)=""),"","{ .freq="&amp;Music!A316&amp;", .duration="&amp;Music!B316&amp;"},")</f>
        <v/>
      </c>
    </row>
    <row r="317" spans="1:1" x14ac:dyDescent="0.25">
      <c r="A317" t="str">
        <f>IF(OR(TRIM(Music!A317)="", TRIM(Music!B317)=""),"","{ .freq="&amp;Music!A317&amp;", .duration="&amp;Music!B317&amp;"},")</f>
        <v/>
      </c>
    </row>
    <row r="318" spans="1:1" x14ac:dyDescent="0.25">
      <c r="A318" t="str">
        <f>IF(OR(TRIM(Music!A318)="", TRIM(Music!B318)=""),"","{ .freq="&amp;Music!A318&amp;", .duration="&amp;Music!B318&amp;"},")</f>
        <v/>
      </c>
    </row>
    <row r="319" spans="1:1" x14ac:dyDescent="0.25">
      <c r="A319" t="str">
        <f>IF(OR(TRIM(Music!A319)="", TRIM(Music!B319)=""),"","{ .freq="&amp;Music!A319&amp;", .duration="&amp;Music!B319&amp;"},")</f>
        <v/>
      </c>
    </row>
    <row r="320" spans="1:1" x14ac:dyDescent="0.25">
      <c r="A320" t="str">
        <f>IF(OR(TRIM(Music!A320)="", TRIM(Music!B320)=""),"","{ .freq="&amp;Music!A320&amp;", .duration="&amp;Music!B320&amp;"},")</f>
        <v/>
      </c>
    </row>
    <row r="321" spans="1:1" x14ac:dyDescent="0.25">
      <c r="A321" t="str">
        <f>IF(OR(TRIM(Music!A321)="", TRIM(Music!B321)=""),"","{ .freq="&amp;Music!A321&amp;", .duration="&amp;Music!B321&amp;"},")</f>
        <v/>
      </c>
    </row>
    <row r="322" spans="1:1" x14ac:dyDescent="0.25">
      <c r="A322" t="str">
        <f>IF(OR(TRIM(Music!A322)="", TRIM(Music!B322)=""),"","{ .freq="&amp;Music!A322&amp;", .duration="&amp;Music!B322&amp;"},")</f>
        <v/>
      </c>
    </row>
    <row r="323" spans="1:1" x14ac:dyDescent="0.25">
      <c r="A323" t="str">
        <f>IF(OR(TRIM(Music!A323)="", TRIM(Music!B323)=""),"","{ .freq="&amp;Music!A323&amp;", .duration="&amp;Music!B323&amp;"},")</f>
        <v/>
      </c>
    </row>
    <row r="324" spans="1:1" x14ac:dyDescent="0.25">
      <c r="A324" t="str">
        <f>IF(OR(TRIM(Music!A324)="", TRIM(Music!B324)=""),"","{ .freq="&amp;Music!A324&amp;", .duration="&amp;Music!B324&amp;"},")</f>
        <v/>
      </c>
    </row>
    <row r="325" spans="1:1" x14ac:dyDescent="0.25">
      <c r="A325" t="str">
        <f>IF(OR(TRIM(Music!A325)="", TRIM(Music!B325)=""),"","{ .freq="&amp;Music!A325&amp;", .duration="&amp;Music!B325&amp;"},")</f>
        <v/>
      </c>
    </row>
    <row r="326" spans="1:1" x14ac:dyDescent="0.25">
      <c r="A326" t="str">
        <f>IF(OR(TRIM(Music!A326)="", TRIM(Music!B326)=""),"","{ .freq="&amp;Music!A326&amp;", .duration="&amp;Music!B326&amp;"},")</f>
        <v/>
      </c>
    </row>
    <row r="327" spans="1:1" x14ac:dyDescent="0.25">
      <c r="A327" t="str">
        <f>IF(OR(TRIM(Music!A327)="", TRIM(Music!B327)=""),"","{ .freq="&amp;Music!A327&amp;", .duration="&amp;Music!B327&amp;"},")</f>
        <v/>
      </c>
    </row>
    <row r="328" spans="1:1" x14ac:dyDescent="0.25">
      <c r="A328" t="str">
        <f>IF(OR(TRIM(Music!A328)="", TRIM(Music!B328)=""),"","{ .freq="&amp;Music!A328&amp;", .duration="&amp;Music!B328&amp;"},")</f>
        <v/>
      </c>
    </row>
    <row r="329" spans="1:1" x14ac:dyDescent="0.25">
      <c r="A329" t="str">
        <f>IF(OR(TRIM(Music!A329)="", TRIM(Music!B329)=""),"","{ .freq="&amp;Music!A329&amp;", .duration="&amp;Music!B329&amp;"},")</f>
        <v/>
      </c>
    </row>
    <row r="330" spans="1:1" x14ac:dyDescent="0.25">
      <c r="A330" t="str">
        <f>IF(OR(TRIM(Music!A330)="", TRIM(Music!B330)=""),"","{ .freq="&amp;Music!A330&amp;", .duration="&amp;Music!B330&amp;"},")</f>
        <v/>
      </c>
    </row>
    <row r="331" spans="1:1" x14ac:dyDescent="0.25">
      <c r="A331" t="str">
        <f>IF(OR(TRIM(Music!A331)="", TRIM(Music!B331)=""),"","{ .freq="&amp;Music!A331&amp;", .duration="&amp;Music!B331&amp;"},")</f>
        <v/>
      </c>
    </row>
    <row r="332" spans="1:1" x14ac:dyDescent="0.25">
      <c r="A332" t="str">
        <f>IF(OR(TRIM(Music!A332)="", TRIM(Music!B332)=""),"","{ .freq="&amp;Music!A332&amp;", .duration="&amp;Music!B332&amp;"},")</f>
        <v/>
      </c>
    </row>
    <row r="333" spans="1:1" x14ac:dyDescent="0.25">
      <c r="A333" t="str">
        <f>IF(OR(TRIM(Music!A333)="", TRIM(Music!B333)=""),"","{ .freq="&amp;Music!A333&amp;", .duration="&amp;Music!B333&amp;"},")</f>
        <v/>
      </c>
    </row>
    <row r="334" spans="1:1" x14ac:dyDescent="0.25">
      <c r="A334" t="str">
        <f>IF(OR(TRIM(Music!A334)="", TRIM(Music!B334)=""),"","{ .freq="&amp;Music!A334&amp;", .duration="&amp;Music!B334&amp;"},")</f>
        <v/>
      </c>
    </row>
    <row r="335" spans="1:1" x14ac:dyDescent="0.25">
      <c r="A335" t="str">
        <f>IF(OR(TRIM(Music!A335)="", TRIM(Music!B335)=""),"","{ .freq="&amp;Music!A335&amp;", .duration="&amp;Music!B335&amp;"},")</f>
        <v/>
      </c>
    </row>
    <row r="336" spans="1:1" x14ac:dyDescent="0.25">
      <c r="A336" t="str">
        <f>IF(OR(TRIM(Music!A336)="", TRIM(Music!B336)=""),"","{ .freq="&amp;Music!A336&amp;", .duration="&amp;Music!B336&amp;"},")</f>
        <v/>
      </c>
    </row>
    <row r="337" spans="1:1" x14ac:dyDescent="0.25">
      <c r="A337" t="str">
        <f>IF(OR(TRIM(Music!A337)="", TRIM(Music!B337)=""),"","{ .freq="&amp;Music!A337&amp;", .duration="&amp;Music!B337&amp;"},")</f>
        <v/>
      </c>
    </row>
    <row r="338" spans="1:1" x14ac:dyDescent="0.25">
      <c r="A338" t="str">
        <f>IF(OR(TRIM(Music!A338)="", TRIM(Music!B338)=""),"","{ .freq="&amp;Music!A338&amp;", .duration="&amp;Music!B338&amp;"},")</f>
        <v/>
      </c>
    </row>
    <row r="339" spans="1:1" x14ac:dyDescent="0.25">
      <c r="A339" t="str">
        <f>IF(OR(TRIM(Music!A339)="", TRIM(Music!B339)=""),"","{ .freq="&amp;Music!A339&amp;", .duration="&amp;Music!B339&amp;"},")</f>
        <v/>
      </c>
    </row>
    <row r="340" spans="1:1" x14ac:dyDescent="0.25">
      <c r="A340" t="str">
        <f>IF(OR(TRIM(Music!A340)="", TRIM(Music!B340)=""),"","{ .freq="&amp;Music!A340&amp;", .duration="&amp;Music!B340&amp;"},")</f>
        <v/>
      </c>
    </row>
    <row r="341" spans="1:1" x14ac:dyDescent="0.25">
      <c r="A341" t="str">
        <f>IF(OR(TRIM(Music!A341)="", TRIM(Music!B341)=""),"","{ .freq="&amp;Music!A341&amp;", .duration="&amp;Music!B341&amp;"},")</f>
        <v/>
      </c>
    </row>
    <row r="342" spans="1:1" x14ac:dyDescent="0.25">
      <c r="A342" t="str">
        <f>IF(OR(TRIM(Music!A342)="", TRIM(Music!B342)=""),"","{ .freq="&amp;Music!A342&amp;", .duration="&amp;Music!B342&amp;"},")</f>
        <v/>
      </c>
    </row>
    <row r="343" spans="1:1" x14ac:dyDescent="0.25">
      <c r="A343" t="str">
        <f>IF(OR(TRIM(Music!A343)="", TRIM(Music!B343)=""),"","{ .freq="&amp;Music!A343&amp;", .duration="&amp;Music!B343&amp;"},")</f>
        <v/>
      </c>
    </row>
    <row r="344" spans="1:1" x14ac:dyDescent="0.25">
      <c r="A344" t="str">
        <f>IF(OR(TRIM(Music!A344)="", TRIM(Music!B344)=""),"","{ .freq="&amp;Music!A344&amp;", .duration="&amp;Music!B344&amp;"},")</f>
        <v/>
      </c>
    </row>
    <row r="345" spans="1:1" x14ac:dyDescent="0.25">
      <c r="A345" t="str">
        <f>IF(OR(TRIM(Music!A345)="", TRIM(Music!B345)=""),"","{ .freq="&amp;Music!A345&amp;", .duration="&amp;Music!B345&amp;"},")</f>
        <v/>
      </c>
    </row>
    <row r="346" spans="1:1" x14ac:dyDescent="0.25">
      <c r="A346" t="str">
        <f>IF(OR(TRIM(Music!A346)="", TRIM(Music!B346)=""),"","{ .freq="&amp;Music!A346&amp;", .duration="&amp;Music!B346&amp;"},")</f>
        <v/>
      </c>
    </row>
    <row r="347" spans="1:1" x14ac:dyDescent="0.25">
      <c r="A347" t="str">
        <f>IF(OR(TRIM(Music!A347)="", TRIM(Music!B347)=""),"","{ .freq="&amp;Music!A347&amp;", .duration="&amp;Music!B347&amp;"},")</f>
        <v/>
      </c>
    </row>
    <row r="348" spans="1:1" x14ac:dyDescent="0.25">
      <c r="A348" t="str">
        <f>IF(OR(TRIM(Music!A348)="", TRIM(Music!B348)=""),"","{ .freq="&amp;Music!A348&amp;", .duration="&amp;Music!B348&amp;"},")</f>
        <v/>
      </c>
    </row>
    <row r="349" spans="1:1" x14ac:dyDescent="0.25">
      <c r="A349" t="str">
        <f>IF(OR(TRIM(Music!A349)="", TRIM(Music!B349)=""),"","{ .freq="&amp;Music!A349&amp;", .duration="&amp;Music!B349&amp;"},")</f>
        <v/>
      </c>
    </row>
    <row r="350" spans="1:1" x14ac:dyDescent="0.25">
      <c r="A350" t="str">
        <f>IF(OR(TRIM(Music!A350)="", TRIM(Music!B350)=""),"","{ .freq="&amp;Music!A350&amp;", .duration="&amp;Music!B350&amp;"},")</f>
        <v/>
      </c>
    </row>
    <row r="351" spans="1:1" x14ac:dyDescent="0.25">
      <c r="A351" t="str">
        <f>IF(OR(TRIM(Music!A351)="", TRIM(Music!B351)=""),"","{ .freq="&amp;Music!A351&amp;", .duration="&amp;Music!B351&amp;"},")</f>
        <v/>
      </c>
    </row>
    <row r="352" spans="1:1" x14ac:dyDescent="0.25">
      <c r="A352" t="str">
        <f>IF(OR(TRIM(Music!A352)="", TRIM(Music!B352)=""),"","{ .freq="&amp;Music!A352&amp;", .duration="&amp;Music!B352&amp;"},")</f>
        <v/>
      </c>
    </row>
    <row r="353" spans="1:1" x14ac:dyDescent="0.25">
      <c r="A353" t="str">
        <f>IF(OR(TRIM(Music!A353)="", TRIM(Music!B353)=""),"","{ .freq="&amp;Music!A353&amp;", .duration="&amp;Music!B353&amp;"},")</f>
        <v/>
      </c>
    </row>
    <row r="354" spans="1:1" x14ac:dyDescent="0.25">
      <c r="A354" t="str">
        <f>IF(OR(TRIM(Music!A354)="", TRIM(Music!B354)=""),"","{ .freq="&amp;Music!A354&amp;", .duration="&amp;Music!B354&amp;"},")</f>
        <v/>
      </c>
    </row>
    <row r="355" spans="1:1" x14ac:dyDescent="0.25">
      <c r="A355" t="str">
        <f>IF(OR(TRIM(Music!A355)="", TRIM(Music!B355)=""),"","{ .freq="&amp;Music!A355&amp;", .duration="&amp;Music!B355&amp;"},")</f>
        <v/>
      </c>
    </row>
    <row r="356" spans="1:1" x14ac:dyDescent="0.25">
      <c r="A356" t="str">
        <f>IF(OR(TRIM(Music!A356)="", TRIM(Music!B356)=""),"","{ .freq="&amp;Music!A356&amp;", .duration="&amp;Music!B356&amp;"},")</f>
        <v/>
      </c>
    </row>
    <row r="357" spans="1:1" x14ac:dyDescent="0.25">
      <c r="A357" t="str">
        <f>IF(OR(TRIM(Music!A357)="", TRIM(Music!B357)=""),"","{ .freq="&amp;Music!A357&amp;", .duration="&amp;Music!B357&amp;"},")</f>
        <v/>
      </c>
    </row>
    <row r="358" spans="1:1" x14ac:dyDescent="0.25">
      <c r="A358" t="str">
        <f>IF(OR(TRIM(Music!A358)="", TRIM(Music!B358)=""),"","{ .freq="&amp;Music!A358&amp;", .duration="&amp;Music!B358&amp;"},")</f>
        <v/>
      </c>
    </row>
    <row r="359" spans="1:1" x14ac:dyDescent="0.25">
      <c r="A359" t="str">
        <f>IF(OR(TRIM(Music!A359)="", TRIM(Music!B359)=""),"","{ .freq="&amp;Music!A359&amp;", .duration="&amp;Music!B359&amp;"},")</f>
        <v/>
      </c>
    </row>
    <row r="360" spans="1:1" x14ac:dyDescent="0.25">
      <c r="A360" t="str">
        <f>IF(OR(TRIM(Music!A360)="", TRIM(Music!B360)=""),"","{ .freq="&amp;Music!A360&amp;", .duration="&amp;Music!B360&amp;"},")</f>
        <v/>
      </c>
    </row>
    <row r="361" spans="1:1" x14ac:dyDescent="0.25">
      <c r="A361" t="str">
        <f>IF(OR(TRIM(Music!A361)="", TRIM(Music!B361)=""),"","{ .freq="&amp;Music!A361&amp;", .duration="&amp;Music!B361&amp;"},")</f>
        <v/>
      </c>
    </row>
    <row r="362" spans="1:1" x14ac:dyDescent="0.25">
      <c r="A362" t="str">
        <f>IF(OR(TRIM(Music!A362)="", TRIM(Music!B362)=""),"","{ .freq="&amp;Music!A362&amp;", .duration="&amp;Music!B362&amp;"},")</f>
        <v/>
      </c>
    </row>
    <row r="363" spans="1:1" x14ac:dyDescent="0.25">
      <c r="A363" t="str">
        <f>IF(OR(TRIM(Music!A363)="", TRIM(Music!B363)=""),"","{ .freq="&amp;Music!A363&amp;", .duration="&amp;Music!B363&amp;"},")</f>
        <v/>
      </c>
    </row>
    <row r="364" spans="1:1" x14ac:dyDescent="0.25">
      <c r="A364" t="str">
        <f>IF(OR(TRIM(Music!A364)="", TRIM(Music!B364)=""),"","{ .freq="&amp;Music!A364&amp;", .duration="&amp;Music!B364&amp;"},")</f>
        <v/>
      </c>
    </row>
    <row r="365" spans="1:1" x14ac:dyDescent="0.25">
      <c r="A365" t="str">
        <f>IF(OR(TRIM(Music!A365)="", TRIM(Music!B365)=""),"","{ .freq="&amp;Music!A365&amp;", .duration="&amp;Music!B365&amp;"},")</f>
        <v/>
      </c>
    </row>
    <row r="366" spans="1:1" x14ac:dyDescent="0.25">
      <c r="A366" t="str">
        <f>IF(OR(TRIM(Music!A366)="", TRIM(Music!B366)=""),"","{ .freq="&amp;Music!A366&amp;", .duration="&amp;Music!B366&amp;"},")</f>
        <v/>
      </c>
    </row>
    <row r="367" spans="1:1" x14ac:dyDescent="0.25">
      <c r="A367" t="str">
        <f>IF(OR(TRIM(Music!A367)="", TRIM(Music!B367)=""),"","{ .freq="&amp;Music!A367&amp;", .duration="&amp;Music!B367&amp;"},")</f>
        <v/>
      </c>
    </row>
    <row r="368" spans="1:1" x14ac:dyDescent="0.25">
      <c r="A368" t="str">
        <f>IF(OR(TRIM(Music!A368)="", TRIM(Music!B368)=""),"","{ .freq="&amp;Music!A368&amp;", .duration="&amp;Music!B368&amp;"},")</f>
        <v/>
      </c>
    </row>
    <row r="369" spans="1:1" x14ac:dyDescent="0.25">
      <c r="A369" t="str">
        <f>IF(OR(TRIM(Music!A369)="", TRIM(Music!B369)=""),"","{ .freq="&amp;Music!A369&amp;", .duration="&amp;Music!B369&amp;"},")</f>
        <v/>
      </c>
    </row>
    <row r="370" spans="1:1" x14ac:dyDescent="0.25">
      <c r="A370" t="str">
        <f>IF(OR(TRIM(Music!A370)="", TRIM(Music!B370)=""),"","{ .freq="&amp;Music!A370&amp;", .duration="&amp;Music!B370&amp;"},")</f>
        <v/>
      </c>
    </row>
    <row r="371" spans="1:1" x14ac:dyDescent="0.25">
      <c r="A371" t="str">
        <f>IF(OR(TRIM(Music!A371)="", TRIM(Music!B371)=""),"","{ .freq="&amp;Music!A371&amp;", .duration="&amp;Music!B371&amp;"},")</f>
        <v/>
      </c>
    </row>
    <row r="372" spans="1:1" x14ac:dyDescent="0.25">
      <c r="A372" t="str">
        <f>IF(OR(TRIM(Music!A372)="", TRIM(Music!B372)=""),"","{ .freq="&amp;Music!A372&amp;", .duration="&amp;Music!B372&amp;"},")</f>
        <v/>
      </c>
    </row>
    <row r="373" spans="1:1" x14ac:dyDescent="0.25">
      <c r="A373" t="str">
        <f>IF(OR(TRIM(Music!A373)="", TRIM(Music!B373)=""),"","{ .freq="&amp;Music!A373&amp;", .duration="&amp;Music!B373&amp;"},")</f>
        <v/>
      </c>
    </row>
    <row r="374" spans="1:1" x14ac:dyDescent="0.25">
      <c r="A374" t="str">
        <f>IF(OR(TRIM(Music!A374)="", TRIM(Music!B374)=""),"","{ .freq="&amp;Music!A374&amp;", .duration="&amp;Music!B374&amp;"},")</f>
        <v/>
      </c>
    </row>
    <row r="375" spans="1:1" x14ac:dyDescent="0.25">
      <c r="A375" t="str">
        <f>IF(OR(TRIM(Music!A375)="", TRIM(Music!B375)=""),"","{ .freq="&amp;Music!A375&amp;", .duration="&amp;Music!B375&amp;"},")</f>
        <v/>
      </c>
    </row>
    <row r="376" spans="1:1" x14ac:dyDescent="0.25">
      <c r="A376" t="str">
        <f>IF(OR(TRIM(Music!A376)="", TRIM(Music!B376)=""),"","{ .freq="&amp;Music!A376&amp;", .duration="&amp;Music!B376&amp;"},")</f>
        <v/>
      </c>
    </row>
    <row r="377" spans="1:1" x14ac:dyDescent="0.25">
      <c r="A377" t="str">
        <f>IF(OR(TRIM(Music!A377)="", TRIM(Music!B377)=""),"","{ .freq="&amp;Music!A377&amp;", .duration="&amp;Music!B377&amp;"},")</f>
        <v/>
      </c>
    </row>
    <row r="378" spans="1:1" x14ac:dyDescent="0.25">
      <c r="A378" t="str">
        <f>IF(OR(TRIM(Music!A378)="", TRIM(Music!B378)=""),"","{ .freq="&amp;Music!A378&amp;", .duration="&amp;Music!B378&amp;"},")</f>
        <v/>
      </c>
    </row>
    <row r="379" spans="1:1" x14ac:dyDescent="0.25">
      <c r="A379" t="str">
        <f>IF(OR(TRIM(Music!A379)="", TRIM(Music!B379)=""),"","{ .freq="&amp;Music!A379&amp;", .duration="&amp;Music!B379&amp;"},")</f>
        <v/>
      </c>
    </row>
    <row r="380" spans="1:1" x14ac:dyDescent="0.25">
      <c r="A380" t="str">
        <f>IF(OR(TRIM(Music!A380)="", TRIM(Music!B380)=""),"","{ .freq="&amp;Music!A380&amp;", .duration="&amp;Music!B380&amp;"},")</f>
        <v/>
      </c>
    </row>
    <row r="381" spans="1:1" x14ac:dyDescent="0.25">
      <c r="A381" t="str">
        <f>IF(OR(TRIM(Music!A381)="", TRIM(Music!B381)=""),"","{ .freq="&amp;Music!A381&amp;", .duration="&amp;Music!B381&amp;"},")</f>
        <v/>
      </c>
    </row>
    <row r="382" spans="1:1" x14ac:dyDescent="0.25">
      <c r="A382" t="str">
        <f>IF(OR(TRIM(Music!A382)="", TRIM(Music!B382)=""),"","{ .freq="&amp;Music!A382&amp;", .duration="&amp;Music!B382&amp;"},")</f>
        <v/>
      </c>
    </row>
    <row r="383" spans="1:1" x14ac:dyDescent="0.25">
      <c r="A383" t="str">
        <f>IF(OR(TRIM(Music!A383)="", TRIM(Music!B383)=""),"","{ .freq="&amp;Music!A383&amp;", .duration="&amp;Music!B383&amp;"},")</f>
        <v/>
      </c>
    </row>
    <row r="384" spans="1:1" x14ac:dyDescent="0.25">
      <c r="A384" t="str">
        <f>IF(OR(TRIM(Music!A384)="", TRIM(Music!B384)=""),"","{ .freq="&amp;Music!A384&amp;", .duration="&amp;Music!B384&amp;"},")</f>
        <v/>
      </c>
    </row>
    <row r="385" spans="1:1" x14ac:dyDescent="0.25">
      <c r="A385" t="str">
        <f>IF(OR(TRIM(Music!A385)="", TRIM(Music!B385)=""),"","{ .freq="&amp;Music!A385&amp;", .duration="&amp;Music!B385&amp;"},")</f>
        <v/>
      </c>
    </row>
    <row r="386" spans="1:1" x14ac:dyDescent="0.25">
      <c r="A386" t="str">
        <f>IF(OR(TRIM(Music!A386)="", TRIM(Music!B386)=""),"","{ .freq="&amp;Music!A386&amp;", .duration="&amp;Music!B386&amp;"},")</f>
        <v/>
      </c>
    </row>
    <row r="387" spans="1:1" x14ac:dyDescent="0.25">
      <c r="A387" t="str">
        <f>IF(OR(TRIM(Music!A387)="", TRIM(Music!B387)=""),"","{ .freq="&amp;Music!A387&amp;", .duration="&amp;Music!B387&amp;"},")</f>
        <v/>
      </c>
    </row>
    <row r="388" spans="1:1" x14ac:dyDescent="0.25">
      <c r="A388" t="str">
        <f>IF(OR(TRIM(Music!A388)="", TRIM(Music!B388)=""),"","{ .freq="&amp;Music!A388&amp;", .duration="&amp;Music!B388&amp;"},")</f>
        <v/>
      </c>
    </row>
    <row r="389" spans="1:1" x14ac:dyDescent="0.25">
      <c r="A389" t="str">
        <f>IF(OR(TRIM(Music!A389)="", TRIM(Music!B389)=""),"","{ .freq="&amp;Music!A389&amp;", .duration="&amp;Music!B389&amp;"},")</f>
        <v/>
      </c>
    </row>
    <row r="390" spans="1:1" x14ac:dyDescent="0.25">
      <c r="A390" t="str">
        <f>IF(OR(TRIM(Music!A390)="", TRIM(Music!B390)=""),"","{ .freq="&amp;Music!A390&amp;", .duration="&amp;Music!B390&amp;"},")</f>
        <v/>
      </c>
    </row>
    <row r="391" spans="1:1" x14ac:dyDescent="0.25">
      <c r="A391" t="str">
        <f>IF(OR(TRIM(Music!A391)="", TRIM(Music!B391)=""),"","{ .freq="&amp;Music!A391&amp;", .duration="&amp;Music!B391&amp;"},")</f>
        <v/>
      </c>
    </row>
    <row r="392" spans="1:1" x14ac:dyDescent="0.25">
      <c r="A392" t="str">
        <f>IF(OR(TRIM(Music!A392)="", TRIM(Music!B392)=""),"","{ .freq="&amp;Music!A392&amp;", .duration="&amp;Music!B392&amp;"},")</f>
        <v/>
      </c>
    </row>
    <row r="393" spans="1:1" x14ac:dyDescent="0.25">
      <c r="A393" t="str">
        <f>IF(OR(TRIM(Music!A393)="", TRIM(Music!B393)=""),"","{ .freq="&amp;Music!A393&amp;", .duration="&amp;Music!B393&amp;"},")</f>
        <v/>
      </c>
    </row>
    <row r="394" spans="1:1" x14ac:dyDescent="0.25">
      <c r="A394" t="str">
        <f>IF(OR(TRIM(Music!A394)="", TRIM(Music!B394)=""),"","{ .freq="&amp;Music!A394&amp;", .duration="&amp;Music!B394&amp;"},")</f>
        <v/>
      </c>
    </row>
    <row r="395" spans="1:1" x14ac:dyDescent="0.25">
      <c r="A395" t="str">
        <f>IF(OR(TRIM(Music!A395)="", TRIM(Music!B395)=""),"","{ .freq="&amp;Music!A395&amp;", .duration="&amp;Music!B395&amp;"},")</f>
        <v/>
      </c>
    </row>
    <row r="396" spans="1:1" x14ac:dyDescent="0.25">
      <c r="A396" t="str">
        <f>IF(OR(TRIM(Music!A396)="", TRIM(Music!B396)=""),"","{ .freq="&amp;Music!A396&amp;", .duration="&amp;Music!B396&amp;"},")</f>
        <v/>
      </c>
    </row>
    <row r="397" spans="1:1" x14ac:dyDescent="0.25">
      <c r="A397" t="str">
        <f>IF(OR(TRIM(Music!A397)="", TRIM(Music!B397)=""),"","{ .freq="&amp;Music!A397&amp;", .duration="&amp;Music!B397&amp;"},")</f>
        <v/>
      </c>
    </row>
    <row r="398" spans="1:1" x14ac:dyDescent="0.25">
      <c r="A398" t="str">
        <f>IF(OR(TRIM(Music!A398)="", TRIM(Music!B398)=""),"","{ .freq="&amp;Music!A398&amp;", .duration="&amp;Music!B398&amp;"},")</f>
        <v/>
      </c>
    </row>
    <row r="399" spans="1:1" x14ac:dyDescent="0.25">
      <c r="A399" t="str">
        <f>IF(OR(TRIM(Music!A399)="", TRIM(Music!B399)=""),"","{ .freq="&amp;Music!A399&amp;", .duration="&amp;Music!B399&amp;"},")</f>
        <v/>
      </c>
    </row>
    <row r="400" spans="1:1" x14ac:dyDescent="0.25">
      <c r="A400" t="str">
        <f>IF(OR(TRIM(Music!A400)="", TRIM(Music!B400)=""),"","{ .freq="&amp;Music!A400&amp;", .duration="&amp;Music!B400&amp;"},")</f>
        <v/>
      </c>
    </row>
    <row r="401" spans="1:1" x14ac:dyDescent="0.25">
      <c r="A401" t="str">
        <f>IF(OR(TRIM(Music!A401)="", TRIM(Music!B401)=""),"","{ .freq="&amp;Music!A401&amp;", .duration="&amp;Music!B401&amp;"},")</f>
        <v/>
      </c>
    </row>
    <row r="402" spans="1:1" x14ac:dyDescent="0.25">
      <c r="A402" t="str">
        <f>IF(OR(TRIM(Music!A402)="", TRIM(Music!B402)=""),"","{ .freq="&amp;Music!A402&amp;", .duration="&amp;Music!B402&amp;"},")</f>
        <v/>
      </c>
    </row>
    <row r="403" spans="1:1" x14ac:dyDescent="0.25">
      <c r="A403" t="str">
        <f>IF(OR(TRIM(Music!A403)="", TRIM(Music!B403)=""),"","{ .freq="&amp;Music!A403&amp;", .duration="&amp;Music!B403&amp;"},")</f>
        <v/>
      </c>
    </row>
    <row r="404" spans="1:1" x14ac:dyDescent="0.25">
      <c r="A404" t="str">
        <f>IF(OR(TRIM(Music!A404)="", TRIM(Music!B404)=""),"","{ .freq="&amp;Music!A404&amp;", .duration="&amp;Music!B404&amp;"},")</f>
        <v/>
      </c>
    </row>
    <row r="405" spans="1:1" x14ac:dyDescent="0.25">
      <c r="A405" t="str">
        <f>IF(OR(TRIM(Music!A405)="", TRIM(Music!B405)=""),"","{ .freq="&amp;Music!A405&amp;", .duration="&amp;Music!B405&amp;"},")</f>
        <v/>
      </c>
    </row>
    <row r="406" spans="1:1" x14ac:dyDescent="0.25">
      <c r="A406" t="str">
        <f>IF(OR(TRIM(Music!A406)="", TRIM(Music!B406)=""),"","{ .freq="&amp;Music!A406&amp;", .duration="&amp;Music!B406&amp;"},")</f>
        <v/>
      </c>
    </row>
    <row r="407" spans="1:1" x14ac:dyDescent="0.25">
      <c r="A407" t="str">
        <f>IF(OR(TRIM(Music!A407)="", TRIM(Music!B407)=""),"","{ .freq="&amp;Music!A407&amp;", .duration="&amp;Music!B407&amp;"},")</f>
        <v/>
      </c>
    </row>
    <row r="408" spans="1:1" x14ac:dyDescent="0.25">
      <c r="A408" t="str">
        <f>IF(OR(TRIM(Music!A408)="", TRIM(Music!B408)=""),"","{ .freq="&amp;Music!A408&amp;", .duration="&amp;Music!B408&amp;"},")</f>
        <v/>
      </c>
    </row>
    <row r="409" spans="1:1" x14ac:dyDescent="0.25">
      <c r="A409" t="str">
        <f>IF(OR(TRIM(Music!A409)="", TRIM(Music!B409)=""),"","{ .freq="&amp;Music!A409&amp;", .duration="&amp;Music!B409&amp;"},")</f>
        <v/>
      </c>
    </row>
    <row r="410" spans="1:1" x14ac:dyDescent="0.25">
      <c r="A410" t="str">
        <f>IF(OR(TRIM(Music!A410)="", TRIM(Music!B410)=""),"","{ .freq="&amp;Music!A410&amp;", .duration="&amp;Music!B410&amp;"},")</f>
        <v/>
      </c>
    </row>
    <row r="411" spans="1:1" x14ac:dyDescent="0.25">
      <c r="A411" t="str">
        <f>IF(OR(TRIM(Music!A411)="", TRIM(Music!B411)=""),"","{ .freq="&amp;Music!A411&amp;", .duration="&amp;Music!B411&amp;"},")</f>
        <v/>
      </c>
    </row>
    <row r="412" spans="1:1" x14ac:dyDescent="0.25">
      <c r="A412" t="str">
        <f>IF(OR(TRIM(Music!A412)="", TRIM(Music!B412)=""),"","{ .freq="&amp;Music!A412&amp;", .duration="&amp;Music!B412&amp;"},")</f>
        <v/>
      </c>
    </row>
    <row r="413" spans="1:1" x14ac:dyDescent="0.25">
      <c r="A413" t="str">
        <f>IF(OR(TRIM(Music!A413)="", TRIM(Music!B413)=""),"","{ .freq="&amp;Music!A413&amp;", .duration="&amp;Music!B413&amp;"},")</f>
        <v/>
      </c>
    </row>
    <row r="414" spans="1:1" x14ac:dyDescent="0.25">
      <c r="A414" t="str">
        <f>IF(OR(TRIM(Music!A414)="", TRIM(Music!B414)=""),"","{ .freq="&amp;Music!A414&amp;", .duration="&amp;Music!B414&amp;"},")</f>
        <v/>
      </c>
    </row>
    <row r="415" spans="1:1" x14ac:dyDescent="0.25">
      <c r="A415" t="str">
        <f>IF(OR(TRIM(Music!A415)="", TRIM(Music!B415)=""),"","{ .freq="&amp;Music!A415&amp;", .duration="&amp;Music!B415&amp;"},")</f>
        <v/>
      </c>
    </row>
    <row r="416" spans="1:1" x14ac:dyDescent="0.25">
      <c r="A416" t="str">
        <f>IF(OR(TRIM(Music!A416)="", TRIM(Music!B416)=""),"","{ .freq="&amp;Music!A416&amp;", .duration="&amp;Music!B416&amp;"},")</f>
        <v/>
      </c>
    </row>
    <row r="417" spans="1:1" x14ac:dyDescent="0.25">
      <c r="A417" t="str">
        <f>IF(OR(TRIM(Music!A417)="", TRIM(Music!B417)=""),"","{ .freq="&amp;Music!A417&amp;", .duration="&amp;Music!B417&amp;"},")</f>
        <v/>
      </c>
    </row>
    <row r="418" spans="1:1" x14ac:dyDescent="0.25">
      <c r="A418" t="str">
        <f>IF(OR(TRIM(Music!A418)="", TRIM(Music!B418)=""),"","{ .freq="&amp;Music!A418&amp;", .duration="&amp;Music!B418&amp;"},")</f>
        <v/>
      </c>
    </row>
    <row r="419" spans="1:1" x14ac:dyDescent="0.25">
      <c r="A419" t="str">
        <f>IF(OR(TRIM(Music!A419)="", TRIM(Music!B419)=""),"","{ .freq="&amp;Music!A419&amp;", .duration="&amp;Music!B419&amp;"},")</f>
        <v/>
      </c>
    </row>
    <row r="420" spans="1:1" x14ac:dyDescent="0.25">
      <c r="A420" t="str">
        <f>IF(OR(TRIM(Music!A420)="", TRIM(Music!B420)=""),"","{ .freq="&amp;Music!A420&amp;", .duration="&amp;Music!B420&amp;"},")</f>
        <v/>
      </c>
    </row>
    <row r="421" spans="1:1" x14ac:dyDescent="0.25">
      <c r="A421" t="str">
        <f>IF(OR(TRIM(Music!A421)="", TRIM(Music!B421)=""),"","{ .freq="&amp;Music!A421&amp;", .duration="&amp;Music!B421&amp;"},")</f>
        <v/>
      </c>
    </row>
    <row r="422" spans="1:1" x14ac:dyDescent="0.25">
      <c r="A422" t="str">
        <f>IF(OR(TRIM(Music!A422)="", TRIM(Music!B422)=""),"","{ .freq="&amp;Music!A422&amp;", .duration="&amp;Music!B422&amp;"},")</f>
        <v/>
      </c>
    </row>
    <row r="423" spans="1:1" x14ac:dyDescent="0.25">
      <c r="A423" t="str">
        <f>IF(OR(TRIM(Music!A423)="", TRIM(Music!B423)=""),"","{ .freq="&amp;Music!A423&amp;", .duration="&amp;Music!B423&amp;"},")</f>
        <v/>
      </c>
    </row>
    <row r="424" spans="1:1" x14ac:dyDescent="0.25">
      <c r="A424" t="str">
        <f>IF(OR(TRIM(Music!A424)="", TRIM(Music!B424)=""),"","{ .freq="&amp;Music!A424&amp;", .duration="&amp;Music!B424&amp;"},")</f>
        <v/>
      </c>
    </row>
    <row r="425" spans="1:1" x14ac:dyDescent="0.25">
      <c r="A425" t="str">
        <f>IF(OR(TRIM(Music!A425)="", TRIM(Music!B425)=""),"","{ .freq="&amp;Music!A425&amp;", .duration="&amp;Music!B425&amp;"},")</f>
        <v/>
      </c>
    </row>
    <row r="426" spans="1:1" x14ac:dyDescent="0.25">
      <c r="A426" t="str">
        <f>IF(OR(TRIM(Music!A426)="", TRIM(Music!B426)=""),"","{ .freq="&amp;Music!A426&amp;", .duration="&amp;Music!B426&amp;"},")</f>
        <v/>
      </c>
    </row>
    <row r="427" spans="1:1" x14ac:dyDescent="0.25">
      <c r="A427" t="str">
        <f>IF(OR(TRIM(Music!A427)="", TRIM(Music!B427)=""),"","{ .freq="&amp;Music!A427&amp;", .duration="&amp;Music!B427&amp;"},")</f>
        <v/>
      </c>
    </row>
    <row r="428" spans="1:1" x14ac:dyDescent="0.25">
      <c r="A428" t="str">
        <f>IF(OR(TRIM(Music!A428)="", TRIM(Music!B428)=""),"","{ .freq="&amp;Music!A428&amp;", .duration="&amp;Music!B428&amp;"},")</f>
        <v/>
      </c>
    </row>
    <row r="429" spans="1:1" x14ac:dyDescent="0.25">
      <c r="A429" t="str">
        <f>IF(OR(TRIM(Music!A429)="", TRIM(Music!B429)=""),"","{ .freq="&amp;Music!A429&amp;", .duration="&amp;Music!B429&amp;"},")</f>
        <v/>
      </c>
    </row>
    <row r="430" spans="1:1" x14ac:dyDescent="0.25">
      <c r="A430" t="str">
        <f>IF(OR(TRIM(Music!A430)="", TRIM(Music!B430)=""),"","{ .freq="&amp;Music!A430&amp;", .duration="&amp;Music!B430&amp;"},")</f>
        <v/>
      </c>
    </row>
    <row r="431" spans="1:1" x14ac:dyDescent="0.25">
      <c r="A431" t="str">
        <f>IF(OR(TRIM(Music!A431)="", TRIM(Music!B431)=""),"","{ .freq="&amp;Music!A431&amp;", .duration="&amp;Music!B431&amp;"},")</f>
        <v/>
      </c>
    </row>
    <row r="432" spans="1:1" x14ac:dyDescent="0.25">
      <c r="A432" t="str">
        <f>IF(OR(TRIM(Music!A432)="", TRIM(Music!B432)=""),"","{ .freq="&amp;Music!A432&amp;", .duration="&amp;Music!B432&amp;"},")</f>
        <v/>
      </c>
    </row>
    <row r="433" spans="1:1" x14ac:dyDescent="0.25">
      <c r="A433" t="str">
        <f>IF(OR(TRIM(Music!A433)="", TRIM(Music!B433)=""),"","{ .freq="&amp;Music!A433&amp;", .duration="&amp;Music!B433&amp;"},")</f>
        <v/>
      </c>
    </row>
    <row r="434" spans="1:1" x14ac:dyDescent="0.25">
      <c r="A434" t="str">
        <f>IF(OR(TRIM(Music!A434)="", TRIM(Music!B434)=""),"","{ .freq="&amp;Music!A434&amp;", .duration="&amp;Music!B434&amp;"},")</f>
        <v/>
      </c>
    </row>
    <row r="435" spans="1:1" x14ac:dyDescent="0.25">
      <c r="A435" t="str">
        <f>IF(OR(TRIM(Music!A435)="", TRIM(Music!B435)=""),"","{ .freq="&amp;Music!A435&amp;", .duration="&amp;Music!B435&amp;"},")</f>
        <v/>
      </c>
    </row>
    <row r="436" spans="1:1" x14ac:dyDescent="0.25">
      <c r="A436" t="str">
        <f>IF(OR(TRIM(Music!A436)="", TRIM(Music!B436)=""),"","{ .freq="&amp;Music!A436&amp;", .duration="&amp;Music!B436&amp;"},")</f>
        <v/>
      </c>
    </row>
    <row r="437" spans="1:1" x14ac:dyDescent="0.25">
      <c r="A437" t="str">
        <f>IF(OR(TRIM(Music!A437)="", TRIM(Music!B437)=""),"","{ .freq="&amp;Music!A437&amp;", .duration="&amp;Music!B437&amp;"},")</f>
        <v/>
      </c>
    </row>
    <row r="438" spans="1:1" x14ac:dyDescent="0.25">
      <c r="A438" t="str">
        <f>IF(OR(TRIM(Music!A438)="", TRIM(Music!B438)=""),"","{ .freq="&amp;Music!A438&amp;", .duration="&amp;Music!B438&amp;"},")</f>
        <v/>
      </c>
    </row>
    <row r="439" spans="1:1" x14ac:dyDescent="0.25">
      <c r="A439" t="str">
        <f>IF(OR(TRIM(Music!A439)="", TRIM(Music!B439)=""),"","{ .freq="&amp;Music!A439&amp;", .duration="&amp;Music!B439&amp;"},")</f>
        <v/>
      </c>
    </row>
    <row r="440" spans="1:1" x14ac:dyDescent="0.25">
      <c r="A440" t="str">
        <f>IF(OR(TRIM(Music!A440)="", TRIM(Music!B440)=""),"","{ .freq="&amp;Music!A440&amp;", .duration="&amp;Music!B440&amp;"},")</f>
        <v/>
      </c>
    </row>
    <row r="441" spans="1:1" x14ac:dyDescent="0.25">
      <c r="A441" t="str">
        <f>IF(OR(TRIM(Music!A441)="", TRIM(Music!B441)=""),"","{ .freq="&amp;Music!A441&amp;", .duration="&amp;Music!B441&amp;"},")</f>
        <v/>
      </c>
    </row>
    <row r="442" spans="1:1" x14ac:dyDescent="0.25">
      <c r="A442" t="str">
        <f>IF(OR(TRIM(Music!A442)="", TRIM(Music!B442)=""),"","{ .freq="&amp;Music!A442&amp;", .duration="&amp;Music!B442&amp;"},")</f>
        <v/>
      </c>
    </row>
    <row r="443" spans="1:1" x14ac:dyDescent="0.25">
      <c r="A443" t="str">
        <f>IF(OR(TRIM(Music!A443)="", TRIM(Music!B443)=""),"","{ .freq="&amp;Music!A443&amp;", .duration="&amp;Music!B443&amp;"},")</f>
        <v/>
      </c>
    </row>
    <row r="444" spans="1:1" x14ac:dyDescent="0.25">
      <c r="A444" t="str">
        <f>IF(OR(TRIM(Music!A444)="", TRIM(Music!B444)=""),"","{ .freq="&amp;Music!A444&amp;", .duration="&amp;Music!B444&amp;"},")</f>
        <v/>
      </c>
    </row>
    <row r="445" spans="1:1" x14ac:dyDescent="0.25">
      <c r="A445" t="str">
        <f>IF(OR(TRIM(Music!A445)="", TRIM(Music!B445)=""),"","{ .freq="&amp;Music!A445&amp;", .duration="&amp;Music!B445&amp;"},")</f>
        <v/>
      </c>
    </row>
    <row r="446" spans="1:1" x14ac:dyDescent="0.25">
      <c r="A446" t="str">
        <f>IF(OR(TRIM(Music!A446)="", TRIM(Music!B446)=""),"","{ .freq="&amp;Music!A446&amp;", .duration="&amp;Music!B446&amp;"},")</f>
        <v/>
      </c>
    </row>
    <row r="447" spans="1:1" x14ac:dyDescent="0.25">
      <c r="A447" t="str">
        <f>IF(OR(TRIM(Music!A447)="", TRIM(Music!B447)=""),"","{ .freq="&amp;Music!A447&amp;", .duration="&amp;Music!B447&amp;"},")</f>
        <v/>
      </c>
    </row>
    <row r="448" spans="1:1" x14ac:dyDescent="0.25">
      <c r="A448" t="str">
        <f>IF(OR(TRIM(Music!A448)="", TRIM(Music!B448)=""),"","{ .freq="&amp;Music!A448&amp;", .duration="&amp;Music!B448&amp;"},")</f>
        <v/>
      </c>
    </row>
    <row r="449" spans="1:1" x14ac:dyDescent="0.25">
      <c r="A449" t="str">
        <f>IF(OR(TRIM(Music!A449)="", TRIM(Music!B449)=""),"","{ .freq="&amp;Music!A449&amp;", .duration="&amp;Music!B449&amp;"},")</f>
        <v/>
      </c>
    </row>
    <row r="450" spans="1:1" x14ac:dyDescent="0.25">
      <c r="A450" t="str">
        <f>IF(OR(TRIM(Music!A450)="", TRIM(Music!B450)=""),"","{ .freq="&amp;Music!A450&amp;", .duration="&amp;Music!B450&amp;"},")</f>
        <v/>
      </c>
    </row>
    <row r="451" spans="1:1" x14ac:dyDescent="0.25">
      <c r="A451" t="str">
        <f>IF(OR(TRIM(Music!A451)="", TRIM(Music!B451)=""),"","{ .freq="&amp;Music!A451&amp;", .duration="&amp;Music!B451&amp;"},")</f>
        <v/>
      </c>
    </row>
    <row r="452" spans="1:1" x14ac:dyDescent="0.25">
      <c r="A452" t="str">
        <f>IF(OR(TRIM(Music!A452)="", TRIM(Music!B452)=""),"","{ .freq="&amp;Music!A452&amp;", .duration="&amp;Music!B452&amp;"},")</f>
        <v/>
      </c>
    </row>
    <row r="453" spans="1:1" x14ac:dyDescent="0.25">
      <c r="A453" t="str">
        <f>IF(OR(TRIM(Music!A453)="", TRIM(Music!B453)=""),"","{ .freq="&amp;Music!A453&amp;", .duration="&amp;Music!B453&amp;"},")</f>
        <v/>
      </c>
    </row>
    <row r="454" spans="1:1" x14ac:dyDescent="0.25">
      <c r="A454" t="str">
        <f>IF(OR(TRIM(Music!A454)="", TRIM(Music!B454)=""),"","{ .freq="&amp;Music!A454&amp;", .duration="&amp;Music!B454&amp;"},")</f>
        <v/>
      </c>
    </row>
    <row r="455" spans="1:1" x14ac:dyDescent="0.25">
      <c r="A455" t="str">
        <f>IF(OR(TRIM(Music!A455)="", TRIM(Music!B455)=""),"","{ .freq="&amp;Music!A455&amp;", .duration="&amp;Music!B455&amp;"},")</f>
        <v/>
      </c>
    </row>
    <row r="456" spans="1:1" x14ac:dyDescent="0.25">
      <c r="A456" t="str">
        <f>IF(OR(TRIM(Music!A456)="", TRIM(Music!B456)=""),"","{ .freq="&amp;Music!A456&amp;", .duration="&amp;Music!B456&amp;"},")</f>
        <v/>
      </c>
    </row>
    <row r="457" spans="1:1" x14ac:dyDescent="0.25">
      <c r="A457" t="str">
        <f>IF(OR(TRIM(Music!A457)="", TRIM(Music!B457)=""),"","{ .freq="&amp;Music!A457&amp;", .duration="&amp;Music!B457&amp;"},")</f>
        <v/>
      </c>
    </row>
    <row r="458" spans="1:1" x14ac:dyDescent="0.25">
      <c r="A458" t="str">
        <f>IF(OR(TRIM(Music!A458)="", TRIM(Music!B458)=""),"","{ .freq="&amp;Music!A458&amp;", .duration="&amp;Music!B458&amp;"},")</f>
        <v/>
      </c>
    </row>
    <row r="459" spans="1:1" x14ac:dyDescent="0.25">
      <c r="A459" t="str">
        <f>IF(OR(TRIM(Music!A459)="", TRIM(Music!B459)=""),"","{ .freq="&amp;Music!A459&amp;", .duration="&amp;Music!B459&amp;"},")</f>
        <v/>
      </c>
    </row>
    <row r="460" spans="1:1" x14ac:dyDescent="0.25">
      <c r="A460" t="str">
        <f>IF(OR(TRIM(Music!A460)="", TRIM(Music!B460)=""),"","{ .freq="&amp;Music!A460&amp;", .duration="&amp;Music!B460&amp;"},")</f>
        <v/>
      </c>
    </row>
    <row r="461" spans="1:1" x14ac:dyDescent="0.25">
      <c r="A461" t="str">
        <f>IF(OR(TRIM(Music!A461)="", TRIM(Music!B461)=""),"","{ .freq="&amp;Music!A461&amp;", .duration="&amp;Music!B461&amp;"},")</f>
        <v/>
      </c>
    </row>
    <row r="462" spans="1:1" x14ac:dyDescent="0.25">
      <c r="A462" t="str">
        <f>IF(OR(TRIM(Music!A462)="", TRIM(Music!B462)=""),"","{ .freq="&amp;Music!A462&amp;", .duration="&amp;Music!B462&amp;"},")</f>
        <v/>
      </c>
    </row>
    <row r="463" spans="1:1" x14ac:dyDescent="0.25">
      <c r="A463" t="str">
        <f>IF(OR(TRIM(Music!A463)="", TRIM(Music!B463)=""),"","{ .freq="&amp;Music!A463&amp;", .duration="&amp;Music!B463&amp;"},")</f>
        <v/>
      </c>
    </row>
    <row r="464" spans="1:1" x14ac:dyDescent="0.25">
      <c r="A464" t="str">
        <f>IF(OR(TRIM(Music!A464)="", TRIM(Music!B464)=""),"","{ .freq="&amp;Music!A464&amp;", .duration="&amp;Music!B464&amp;"},")</f>
        <v/>
      </c>
    </row>
    <row r="465" spans="1:1" x14ac:dyDescent="0.25">
      <c r="A465" t="str">
        <f>IF(OR(TRIM(Music!A465)="", TRIM(Music!B465)=""),"","{ .freq="&amp;Music!A465&amp;", .duration="&amp;Music!B465&amp;"},")</f>
        <v/>
      </c>
    </row>
    <row r="466" spans="1:1" x14ac:dyDescent="0.25">
      <c r="A466" t="str">
        <f>IF(OR(TRIM(Music!A466)="", TRIM(Music!B466)=""),"","{ .freq="&amp;Music!A466&amp;", .duration="&amp;Music!B466&amp;"},")</f>
        <v/>
      </c>
    </row>
    <row r="467" spans="1:1" x14ac:dyDescent="0.25">
      <c r="A467" t="str">
        <f>IF(OR(TRIM(Music!A467)="", TRIM(Music!B467)=""),"","{ .freq="&amp;Music!A467&amp;", .duration="&amp;Music!B467&amp;"},")</f>
        <v/>
      </c>
    </row>
    <row r="468" spans="1:1" x14ac:dyDescent="0.25">
      <c r="A468" t="str">
        <f>IF(OR(TRIM(Music!A468)="", TRIM(Music!B468)=""),"","{ .freq="&amp;Music!A468&amp;", .duration="&amp;Music!B468&amp;"},")</f>
        <v/>
      </c>
    </row>
    <row r="469" spans="1:1" x14ac:dyDescent="0.25">
      <c r="A469" t="str">
        <f>IF(OR(TRIM(Music!A469)="", TRIM(Music!B469)=""),"","{ .freq="&amp;Music!A469&amp;", .duration="&amp;Music!B469&amp;"},")</f>
        <v/>
      </c>
    </row>
    <row r="470" spans="1:1" x14ac:dyDescent="0.25">
      <c r="A470" t="str">
        <f>IF(OR(TRIM(Music!A470)="", TRIM(Music!B470)=""),"","{ .freq="&amp;Music!A470&amp;", .duration="&amp;Music!B470&amp;"},")</f>
        <v/>
      </c>
    </row>
    <row r="471" spans="1:1" x14ac:dyDescent="0.25">
      <c r="A471" t="str">
        <f>IF(OR(TRIM(Music!A471)="", TRIM(Music!B471)=""),"","{ .freq="&amp;Music!A471&amp;", .duration="&amp;Music!B471&amp;"},")</f>
        <v/>
      </c>
    </row>
    <row r="472" spans="1:1" x14ac:dyDescent="0.25">
      <c r="A472" t="str">
        <f>IF(OR(TRIM(Music!A472)="", TRIM(Music!B472)=""),"","{ .freq="&amp;Music!A472&amp;", .duration="&amp;Music!B472&amp;"},")</f>
        <v/>
      </c>
    </row>
    <row r="473" spans="1:1" x14ac:dyDescent="0.25">
      <c r="A473" t="str">
        <f>IF(OR(TRIM(Music!A473)="", TRIM(Music!B473)=""),"","{ .freq="&amp;Music!A473&amp;", .duration="&amp;Music!B473&amp;"},")</f>
        <v/>
      </c>
    </row>
    <row r="474" spans="1:1" x14ac:dyDescent="0.25">
      <c r="A474" t="str">
        <f>IF(OR(TRIM(Music!A474)="", TRIM(Music!B474)=""),"","{ .freq="&amp;Music!A474&amp;", .duration="&amp;Music!B474&amp;"},")</f>
        <v/>
      </c>
    </row>
    <row r="475" spans="1:1" x14ac:dyDescent="0.25">
      <c r="A475" t="str">
        <f>IF(OR(TRIM(Music!A475)="", TRIM(Music!B475)=""),"","{ .freq="&amp;Music!A475&amp;", .duration="&amp;Music!B475&amp;"},")</f>
        <v/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E8B0-CC68-48F3-AD2B-8AD79235F4FD}">
  <sheetPr codeName="Sheet4"/>
  <dimension ref="A1:A475"/>
  <sheetViews>
    <sheetView workbookViewId="0"/>
  </sheetViews>
  <sheetFormatPr defaultRowHeight="15" x14ac:dyDescent="0.25"/>
  <sheetData>
    <row r="1" spans="1:1" x14ac:dyDescent="0.25">
      <c r="A1" s="9" t="e">
        <f>_xlfn.TEXTJOIN("",TRUE,"local ",Music!$I$6," = {",A2:$A$475,"}")</f>
        <v>#REF!</v>
      </c>
    </row>
    <row r="2" spans="1:1" x14ac:dyDescent="0.25">
      <c r="A2" t="str">
        <f>IF(OR(TRIM(Music!A2)="", TRIM(Music!B2)=""),"","{ freq="&amp;Music!A2&amp;", duration="&amp;Music!B2&amp;"},")</f>
        <v>{ freq=196, duration=333},</v>
      </c>
    </row>
    <row r="3" spans="1:1" x14ac:dyDescent="0.25">
      <c r="A3" t="str">
        <f>IF(OR(TRIM(Music!A3)="", TRIM(Music!B3)=""),"","{ freq="&amp;Music!A3&amp;", duration="&amp;Music!B3&amp;"},")</f>
        <v>{ freq=196, duration=333},</v>
      </c>
    </row>
    <row r="4" spans="1:1" x14ac:dyDescent="0.25">
      <c r="A4" t="str">
        <f>IF(OR(TRIM(Music!A4)="", TRIM(Music!B4)=""),"","{ freq="&amp;Music!A4&amp;", duration="&amp;Music!B4&amp;"},")</f>
        <v>{ freq=330, duration=333},</v>
      </c>
    </row>
    <row r="5" spans="1:1" x14ac:dyDescent="0.25">
      <c r="A5" t="str">
        <f>IF(OR(TRIM(Music!A5)="", TRIM(Music!B5)=""),"","{ freq="&amp;Music!A5&amp;", duration="&amp;Music!B5&amp;"},")</f>
        <v>{ freq=294, duration=333},</v>
      </c>
    </row>
    <row r="6" spans="1:1" x14ac:dyDescent="0.25">
      <c r="A6" t="str">
        <f>IF(OR(TRIM(Music!A6)="", TRIM(Music!B6)=""),"","{ freq="&amp;Music!A6&amp;", duration="&amp;Music!B6&amp;"},")</f>
        <v>{ freq=262, duration=333},</v>
      </c>
    </row>
    <row r="7" spans="1:1" x14ac:dyDescent="0.25">
      <c r="A7" t="str">
        <f>IF(OR(TRIM(Music!A7)="", TRIM(Music!B7)=""),"","{ freq="&amp;Music!A7&amp;", duration="&amp;Music!B7&amp;"},")</f>
        <v>{ freq=196, duration=1000},</v>
      </c>
    </row>
    <row r="8" spans="1:1" x14ac:dyDescent="0.25">
      <c r="A8" t="str">
        <f>IF(OR(TRIM(Music!A8)="", TRIM(Music!B8)=""),"","{ freq="&amp;Music!A8&amp;", duration="&amp;Music!B8&amp;"},")</f>
        <v>{ freq=196, duration=333},</v>
      </c>
    </row>
    <row r="9" spans="1:1" x14ac:dyDescent="0.25">
      <c r="A9" t="str">
        <f>IF(OR(TRIM(Music!A9)="", TRIM(Music!B9)=""),"","{ freq="&amp;Music!A9&amp;", duration="&amp;Music!B9&amp;"},")</f>
        <v>{ freq=196, duration=333},</v>
      </c>
    </row>
    <row r="10" spans="1:1" x14ac:dyDescent="0.25">
      <c r="A10" t="str">
        <f>IF(OR(TRIM(Music!A10)="", TRIM(Music!B10)=""),"","{ freq="&amp;Music!A10&amp;", duration="&amp;Music!B10&amp;"},")</f>
        <v>{ freq=330, duration=333},</v>
      </c>
    </row>
    <row r="11" spans="1:1" x14ac:dyDescent="0.25">
      <c r="A11" t="str">
        <f>IF(OR(TRIM(Music!A11)="", TRIM(Music!B11)=""),"","{ freq="&amp;Music!A11&amp;", duration="&amp;Music!B11&amp;"},")</f>
        <v>{ freq=294, duration=333},</v>
      </c>
    </row>
    <row r="12" spans="1:1" x14ac:dyDescent="0.25">
      <c r="A12" t="str">
        <f>IF(OR(TRIM(Music!A12)="", TRIM(Music!B12)=""),"","{ freq="&amp;Music!A12&amp;", duration="&amp;Music!B12&amp;"},")</f>
        <v>{ freq=262, duration=333},</v>
      </c>
    </row>
    <row r="13" spans="1:1" x14ac:dyDescent="0.25">
      <c r="A13" t="str">
        <f>IF(OR(TRIM(Music!A13)="", TRIM(Music!B13)=""),"","{ freq="&amp;Music!A13&amp;", duration="&amp;Music!B13&amp;"},")</f>
        <v>{ freq=220, duration=1000},</v>
      </c>
    </row>
    <row r="14" spans="1:1" x14ac:dyDescent="0.25">
      <c r="A14" t="str">
        <f>IF(OR(TRIM(Music!A14)="", TRIM(Music!B14)=""),"","{ freq="&amp;Music!A14&amp;", duration="&amp;Music!B14&amp;"},")</f>
        <v>{ freq=220, duration=333},</v>
      </c>
    </row>
    <row r="15" spans="1:1" x14ac:dyDescent="0.25">
      <c r="A15" t="str">
        <f>IF(OR(TRIM(Music!A15)="", TRIM(Music!B15)=""),"","{ freq="&amp;Music!A15&amp;", duration="&amp;Music!B15&amp;"},")</f>
        <v>{ freq=220, duration=333},</v>
      </c>
    </row>
    <row r="16" spans="1:1" x14ac:dyDescent="0.25">
      <c r="A16" t="str">
        <f>IF(OR(TRIM(Music!A16)="", TRIM(Music!B16)=""),"","{ freq="&amp;Music!A16&amp;", duration="&amp;Music!B16&amp;"},")</f>
        <v>{ freq=349, duration=333},</v>
      </c>
    </row>
    <row r="17" spans="1:1" x14ac:dyDescent="0.25">
      <c r="A17" t="str">
        <f>IF(OR(TRIM(Music!A17)="", TRIM(Music!B17)=""),"","{ freq="&amp;Music!A17&amp;", duration="&amp;Music!B17&amp;"},")</f>
        <v>{ freq=330, duration=333},</v>
      </c>
    </row>
    <row r="18" spans="1:1" x14ac:dyDescent="0.25">
      <c r="A18" t="str">
        <f>IF(OR(TRIM(Music!A18)="", TRIM(Music!B18)=""),"","{ freq="&amp;Music!A18&amp;", duration="&amp;Music!B18&amp;"},")</f>
        <v>{ freq=294, duration=333},</v>
      </c>
    </row>
    <row r="19" spans="1:1" x14ac:dyDescent="0.25">
      <c r="A19" t="str">
        <f>IF(OR(TRIM(Music!A19)="", TRIM(Music!B19)=""),"","{ freq="&amp;Music!A19&amp;", duration="&amp;Music!B19&amp;"},")</f>
        <v>{ freq=247, duration=1000},</v>
      </c>
    </row>
    <row r="20" spans="1:1" x14ac:dyDescent="0.25">
      <c r="A20" t="str">
        <f>IF(OR(TRIM(Music!A20)="", TRIM(Music!B20)=""),"","{ freq="&amp;Music!A20&amp;", duration="&amp;Music!B20&amp;"},")</f>
        <v>{ freq=392, duration=333},</v>
      </c>
    </row>
    <row r="21" spans="1:1" x14ac:dyDescent="0.25">
      <c r="A21" t="str">
        <f>IF(OR(TRIM(Music!A21)="", TRIM(Music!B21)=""),"","{ freq="&amp;Music!A21&amp;", duration="&amp;Music!B21&amp;"},")</f>
        <v>{ freq=392, duration=333},</v>
      </c>
    </row>
    <row r="22" spans="1:1" x14ac:dyDescent="0.25">
      <c r="A22" t="str">
        <f>IF(OR(TRIM(Music!A22)="", TRIM(Music!B22)=""),"","{ freq="&amp;Music!A22&amp;", duration="&amp;Music!B22&amp;"},")</f>
        <v>{ freq=349, duration=333},</v>
      </c>
    </row>
    <row r="23" spans="1:1" x14ac:dyDescent="0.25">
      <c r="A23" t="str">
        <f>IF(OR(TRIM(Music!A23)="", TRIM(Music!B23)=""),"","{ freq="&amp;Music!A23&amp;", duration="&amp;Music!B23&amp;"},")</f>
        <v>{ freq=294, duration=333},</v>
      </c>
    </row>
    <row r="24" spans="1:1" x14ac:dyDescent="0.25">
      <c r="A24" t="str">
        <f>IF(OR(TRIM(Music!A24)="", TRIM(Music!B24)=""),"","{ freq="&amp;Music!A24&amp;", duration="&amp;Music!B24&amp;"},")</f>
        <v>{ freq=262, duration=1000},</v>
      </c>
    </row>
    <row r="25" spans="1:1" x14ac:dyDescent="0.25">
      <c r="A25" t="str">
        <f>IF(OR(TRIM(Music!A25)="", TRIM(Music!B25)=""),"","{ freq="&amp;Music!A25&amp;", duration="&amp;Music!B25&amp;"},")</f>
        <v>{ freq=196, duration=333},</v>
      </c>
    </row>
    <row r="26" spans="1:1" x14ac:dyDescent="0.25">
      <c r="A26" t="str">
        <f>IF(OR(TRIM(Music!A26)="", TRIM(Music!B26)=""),"","{ freq="&amp;Music!A26&amp;", duration="&amp;Music!B26&amp;"},")</f>
        <v>{ freq=196, duration=333},</v>
      </c>
    </row>
    <row r="27" spans="1:1" x14ac:dyDescent="0.25">
      <c r="A27" t="str">
        <f>IF(OR(TRIM(Music!A77)="", TRIM(Music!B77)=""),"","{ freq="&amp;Music!A77&amp;", duration="&amp;Music!B77&amp;"},")</f>
        <v>{ freq=0, duration=0},</v>
      </c>
    </row>
    <row r="28" spans="1:1" x14ac:dyDescent="0.25">
      <c r="A28" t="str">
        <f>IF(OR(TRIM(Music!A28)="", TRIM(Music!B28)=""),"","{ freq="&amp;Music!A28&amp;", duration="&amp;Music!B28&amp;"},")</f>
        <v>{ freq=294, duration=333},</v>
      </c>
    </row>
    <row r="29" spans="1:1" x14ac:dyDescent="0.25">
      <c r="A29" t="str">
        <f>IF(OR(TRIM(Music!A29)="", TRIM(Music!B29)=""),"","{ freq="&amp;Music!A29&amp;", duration="&amp;Music!B29&amp;"},")</f>
        <v>{ freq=262, duration=333},</v>
      </c>
    </row>
    <row r="30" spans="1:1" x14ac:dyDescent="0.25">
      <c r="A30" t="str">
        <f>IF(OR(TRIM(Music!A30)="", TRIM(Music!B30)=""),"","{ freq="&amp;Music!A30&amp;", duration="&amp;Music!B30&amp;"},")</f>
        <v>{ freq=196, duration=1000},</v>
      </c>
    </row>
    <row r="31" spans="1:1" x14ac:dyDescent="0.25">
      <c r="A31" t="str">
        <f>IF(OR(TRIM(Music!A31)="", TRIM(Music!B31)=""),"","{ freq="&amp;Music!A31&amp;", duration="&amp;Music!B31&amp;"},")</f>
        <v>{ freq=196, duration=333},</v>
      </c>
    </row>
    <row r="32" spans="1:1" x14ac:dyDescent="0.25">
      <c r="A32" t="str">
        <f>IF(OR(TRIM(Music!A32)="", TRIM(Music!B32)=""),"","{ freq="&amp;Music!A32&amp;", duration="&amp;Music!B32&amp;"},")</f>
        <v>{ freq=196, duration=333},</v>
      </c>
    </row>
    <row r="33" spans="1:1" x14ac:dyDescent="0.25">
      <c r="A33" t="str">
        <f>IF(OR(TRIM(Music!A33)="", TRIM(Music!B33)=""),"","{ freq="&amp;Music!A33&amp;", duration="&amp;Music!B33&amp;"},")</f>
        <v>{ freq=330, duration=333},</v>
      </c>
    </row>
    <row r="34" spans="1:1" x14ac:dyDescent="0.25">
      <c r="A34" t="str">
        <f>IF(OR(TRIM(Music!A34)="", TRIM(Music!B34)=""),"","{ freq="&amp;Music!A34&amp;", duration="&amp;Music!B34&amp;"},")</f>
        <v>{ freq=294, duration=333},</v>
      </c>
    </row>
    <row r="35" spans="1:1" x14ac:dyDescent="0.25">
      <c r="A35" t="str">
        <f>IF(OR(TRIM(Music!A35)="", TRIM(Music!B35)=""),"","{ freq="&amp;Music!A35&amp;", duration="&amp;Music!B35&amp;"},")</f>
        <v>{ freq=262, duration=333},</v>
      </c>
    </row>
    <row r="36" spans="1:1" x14ac:dyDescent="0.25">
      <c r="A36" t="str">
        <f>IF(OR(TRIM(Music!A36)="", TRIM(Music!B36)=""),"","{ freq="&amp;Music!A36&amp;", duration="&amp;Music!B36&amp;"},")</f>
        <v>{ freq=220, duration=1000},</v>
      </c>
    </row>
    <row r="37" spans="1:1" x14ac:dyDescent="0.25">
      <c r="A37" t="str">
        <f>IF(OR(TRIM(Music!A37)="", TRIM(Music!B37)=""),"","{ freq="&amp;Music!A37&amp;", duration="&amp;Music!B37&amp;"},")</f>
        <v>{ freq=220, duration=333},</v>
      </c>
    </row>
    <row r="38" spans="1:1" x14ac:dyDescent="0.25">
      <c r="A38" t="str">
        <f>IF(OR(TRIM(Music!A38)="", TRIM(Music!B38)=""),"","{ freq="&amp;Music!A38&amp;", duration="&amp;Music!B38&amp;"},")</f>
        <v>{ freq=220, duration=333},</v>
      </c>
    </row>
    <row r="39" spans="1:1" x14ac:dyDescent="0.25">
      <c r="A39" t="str">
        <f>IF(OR(TRIM(Music!A39)="", TRIM(Music!B39)=""),"","{ freq="&amp;Music!A39&amp;", duration="&amp;Music!B39&amp;"},")</f>
        <v>{ freq=349, duration=333},</v>
      </c>
    </row>
    <row r="40" spans="1:1" x14ac:dyDescent="0.25">
      <c r="A40" t="str">
        <f>IF(OR(TRIM(Music!A40)="", TRIM(Music!B40)=""),"","{ freq="&amp;Music!A40&amp;", duration="&amp;Music!B40&amp;"},")</f>
        <v>{ freq=330, duration=333},</v>
      </c>
    </row>
    <row r="41" spans="1:1" x14ac:dyDescent="0.25">
      <c r="A41" t="str">
        <f>IF(OR(TRIM(Music!A41)="", TRIM(Music!B41)=""),"","{ freq="&amp;Music!A41&amp;", duration="&amp;Music!B41&amp;"},")</f>
        <v>{ freq=294, duration=333},</v>
      </c>
    </row>
    <row r="42" spans="1:1" x14ac:dyDescent="0.25">
      <c r="A42" t="str">
        <f>IF(OR(TRIM(Music!A42)="", TRIM(Music!B42)=""),"","{ freq="&amp;Music!A42&amp;", duration="&amp;Music!B42&amp;"},")</f>
        <v>{ freq=247, duration=1000},</v>
      </c>
    </row>
    <row r="43" spans="1:1" x14ac:dyDescent="0.25">
      <c r="A43" t="str">
        <f>IF(OR(TRIM(Music!A43)="", TRIM(Music!B43)=""),"","{ freq="&amp;Music!A43&amp;", duration="&amp;Music!B43&amp;"},")</f>
        <v>{ freq=392, duration=333},</v>
      </c>
    </row>
    <row r="44" spans="1:1" x14ac:dyDescent="0.25">
      <c r="A44" t="str">
        <f>IF(OR(TRIM(Music!A44)="", TRIM(Music!B44)=""),"","{ freq="&amp;Music!A44&amp;", duration="&amp;Music!B44&amp;"},")</f>
        <v>{ freq=392, duration=333},</v>
      </c>
    </row>
    <row r="45" spans="1:1" x14ac:dyDescent="0.25">
      <c r="A45" t="str">
        <f>IF(OR(TRIM(Music!A45)="", TRIM(Music!B45)=""),"","{ freq="&amp;Music!A45&amp;", duration="&amp;Music!B45&amp;"},")</f>
        <v>{ freq=392, duration=333},</v>
      </c>
    </row>
    <row r="46" spans="1:1" x14ac:dyDescent="0.25">
      <c r="A46" t="str">
        <f>IF(OR(TRIM(Music!A46)="", TRIM(Music!B46)=""),"","{ freq="&amp;Music!A46&amp;", duration="&amp;Music!B46&amp;"},")</f>
        <v>{ freq=392, duration=333},</v>
      </c>
    </row>
    <row r="47" spans="1:1" x14ac:dyDescent="0.25">
      <c r="A47" t="str">
        <f>IF(OR(TRIM(Music!A47)="", TRIM(Music!B47)=""),"","{ freq="&amp;Music!A47&amp;", duration="&amp;Music!B47&amp;"},")</f>
        <v>{ freq=440, duration=333},</v>
      </c>
    </row>
    <row r="48" spans="1:1" x14ac:dyDescent="0.25">
      <c r="A48" t="str">
        <f>IF(OR(TRIM(Music!A48)="", TRIM(Music!B48)=""),"","{ freq="&amp;Music!A48&amp;", duration="&amp;Music!B48&amp;"},")</f>
        <v>{ freq=392, duration=333},</v>
      </c>
    </row>
    <row r="49" spans="1:1" x14ac:dyDescent="0.25">
      <c r="A49" t="str">
        <f>IF(OR(TRIM(Music!A49)="", TRIM(Music!B49)=""),"","{ freq="&amp;Music!A49&amp;", duration="&amp;Music!B49&amp;"},")</f>
        <v>{ freq=349, duration=333},</v>
      </c>
    </row>
    <row r="50" spans="1:1" x14ac:dyDescent="0.25">
      <c r="A50" t="str">
        <f>IF(OR(TRIM(Music!A50)="", TRIM(Music!B50)=""),"","{ freq="&amp;Music!A50&amp;", duration="&amp;Music!B50&amp;"},")</f>
        <v>{ freq=294, duration=333},</v>
      </c>
    </row>
    <row r="51" spans="1:1" x14ac:dyDescent="0.25">
      <c r="A51" t="str">
        <f>IF(OR(TRIM(Music!A51)="", TRIM(Music!B51)=""),"","{ freq="&amp;Music!A51&amp;", duration="&amp;Music!B51&amp;"},")</f>
        <v>{ freq=262, duration=500},</v>
      </c>
    </row>
    <row r="52" spans="1:1" x14ac:dyDescent="0.25">
      <c r="A52" t="str">
        <f>IF(OR(TRIM(Music!A52)="", TRIM(Music!B52)=""),"","{ freq="&amp;Music!A52&amp;", duration="&amp;Music!B52&amp;"},")</f>
        <v>{ freq=392, duration=500},</v>
      </c>
    </row>
    <row r="53" spans="1:1" x14ac:dyDescent="0.25">
      <c r="A53" t="str">
        <f>IF(OR(TRIM(Music!A53)="", TRIM(Music!B53)=""),"","{ freq="&amp;Music!A53&amp;", duration="&amp;Music!B53&amp;"},")</f>
        <v>{ freq=0, duration=0},</v>
      </c>
    </row>
    <row r="54" spans="1:1" x14ac:dyDescent="0.25">
      <c r="A54" t="str">
        <f>IF(OR(TRIM(Music!A54)="", TRIM(Music!B54)=""),"","{ freq="&amp;Music!A54&amp;", duration="&amp;Music!B54&amp;"},")</f>
        <v/>
      </c>
    </row>
    <row r="55" spans="1:1" x14ac:dyDescent="0.25">
      <c r="A55" t="str">
        <f>IF(OR(TRIM(Music!A55)="", TRIM(Music!B55)=""),"","{ freq="&amp;Music!A55&amp;", duration="&amp;Music!B55&amp;"},")</f>
        <v/>
      </c>
    </row>
    <row r="56" spans="1:1" x14ac:dyDescent="0.25">
      <c r="A56" t="str">
        <f>IF(OR(TRIM(Music!A56)="", TRIM(Music!B56)=""),"","{ freq="&amp;Music!A56&amp;", duration="&amp;Music!B56&amp;"},")</f>
        <v/>
      </c>
    </row>
    <row r="57" spans="1:1" x14ac:dyDescent="0.25">
      <c r="A57" t="str">
        <f>IF(OR(TRIM(Music!A57)="", TRIM(Music!B57)=""),"","{ freq="&amp;Music!A57&amp;", duration="&amp;Music!B57&amp;"},")</f>
        <v/>
      </c>
    </row>
    <row r="58" spans="1:1" x14ac:dyDescent="0.25">
      <c r="A58" t="str">
        <f>IF(OR(TRIM(Music!A58)="", TRIM(Music!B58)=""),"","{ freq="&amp;Music!A58&amp;", duration="&amp;Music!B58&amp;"},")</f>
        <v/>
      </c>
    </row>
    <row r="59" spans="1:1" x14ac:dyDescent="0.25">
      <c r="A59" t="str">
        <f>IF(OR(TRIM(Music!A59)="", TRIM(Music!B59)=""),"","{ freq="&amp;Music!A59&amp;", duration="&amp;Music!B59&amp;"},")</f>
        <v/>
      </c>
    </row>
    <row r="60" spans="1:1" x14ac:dyDescent="0.25">
      <c r="A60" t="str">
        <f>IF(OR(TRIM(Music!A60)="", TRIM(Music!B60)=""),"","{ freq="&amp;Music!A60&amp;", duration="&amp;Music!B60&amp;"},")</f>
        <v/>
      </c>
    </row>
    <row r="61" spans="1:1" x14ac:dyDescent="0.25">
      <c r="A61" t="str">
        <f>IF(OR(TRIM(Music!A61)="", TRIM(Music!B61)=""),"","{ freq="&amp;Music!A61&amp;", duration="&amp;Music!B61&amp;"},")</f>
        <v/>
      </c>
    </row>
    <row r="62" spans="1:1" x14ac:dyDescent="0.25">
      <c r="A62" t="str">
        <f>IF(OR(TRIM(Music!A62)="", TRIM(Music!B62)=""),"","{ freq="&amp;Music!A62&amp;", duration="&amp;Music!B62&amp;"},")</f>
        <v/>
      </c>
    </row>
    <row r="63" spans="1:1" x14ac:dyDescent="0.25">
      <c r="A63" t="str">
        <f>IF(OR(TRIM(Music!A63)="", TRIM(Music!B63)=""),"","{ freq="&amp;Music!A63&amp;", duration="&amp;Music!B63&amp;"},")</f>
        <v/>
      </c>
    </row>
    <row r="64" spans="1:1" x14ac:dyDescent="0.25">
      <c r="A64" t="str">
        <f>IF(OR(TRIM(Music!A64)="", TRIM(Music!B64)=""),"","{ freq="&amp;Music!A64&amp;", duration="&amp;Music!B64&amp;"},")</f>
        <v/>
      </c>
    </row>
    <row r="65" spans="1:1" x14ac:dyDescent="0.25">
      <c r="A65" t="str">
        <f>IF(OR(TRIM(Music!A65)="", TRIM(Music!B65)=""),"","{ freq="&amp;Music!A65&amp;", duration="&amp;Music!B65&amp;"},")</f>
        <v/>
      </c>
    </row>
    <row r="66" spans="1:1" x14ac:dyDescent="0.25">
      <c r="A66" t="str">
        <f>IF(OR(TRIM(Music!A66)="", TRIM(Music!B66)=""),"","{ freq="&amp;Music!A66&amp;", duration="&amp;Music!B66&amp;"},")</f>
        <v/>
      </c>
    </row>
    <row r="67" spans="1:1" x14ac:dyDescent="0.25">
      <c r="A67" t="str">
        <f>IF(OR(TRIM(Music!A67)="", TRIM(Music!B67)=""),"","{ freq="&amp;Music!A67&amp;", duration="&amp;Music!B67&amp;"},")</f>
        <v/>
      </c>
    </row>
    <row r="68" spans="1:1" x14ac:dyDescent="0.25">
      <c r="A68" t="str">
        <f>IF(OR(TRIM(Music!A68)="", TRIM(Music!B68)=""),"","{ freq="&amp;Music!A68&amp;", duration="&amp;Music!B68&amp;"},")</f>
        <v/>
      </c>
    </row>
    <row r="69" spans="1:1" x14ac:dyDescent="0.25">
      <c r="A69" t="str">
        <f>IF(OR(TRIM(Music!A69)="", TRIM(Music!B69)=""),"","{ freq="&amp;Music!A69&amp;", duration="&amp;Music!B69&amp;"},")</f>
        <v/>
      </c>
    </row>
    <row r="70" spans="1:1" x14ac:dyDescent="0.25">
      <c r="A70" t="str">
        <f>IF(OR(TRIM(Music!A70)="", TRIM(Music!B70)=""),"","{ freq="&amp;Music!A70&amp;", duration="&amp;Music!B70&amp;"},")</f>
        <v/>
      </c>
    </row>
    <row r="71" spans="1:1" x14ac:dyDescent="0.25">
      <c r="A71" t="str">
        <f>IF(OR(TRIM(Music!A71)="", TRIM(Music!B71)=""),"","{ freq="&amp;Music!A71&amp;", duration="&amp;Music!B71&amp;"},")</f>
        <v/>
      </c>
    </row>
    <row r="72" spans="1:1" x14ac:dyDescent="0.25">
      <c r="A72" t="str">
        <f>IF(OR(TRIM(Music!A72)="", TRIM(Music!B72)=""),"","{ freq="&amp;Music!A72&amp;", duration="&amp;Music!B72&amp;"},")</f>
        <v/>
      </c>
    </row>
    <row r="73" spans="1:1" x14ac:dyDescent="0.25">
      <c r="A73" t="str">
        <f>IF(OR(TRIM(Music!A73)="", TRIM(Music!B73)=""),"","{ freq="&amp;Music!A73&amp;", duration="&amp;Music!B73&amp;"},")</f>
        <v/>
      </c>
    </row>
    <row r="74" spans="1:1" x14ac:dyDescent="0.25">
      <c r="A74" t="str">
        <f>IF(OR(TRIM(Music!A74)="", TRIM(Music!B74)=""),"","{ freq="&amp;Music!A74&amp;", duration="&amp;Music!B74&amp;"},")</f>
        <v/>
      </c>
    </row>
    <row r="75" spans="1:1" x14ac:dyDescent="0.25">
      <c r="A75" t="str">
        <f>IF(OR(TRIM(Music!A75)="", TRIM(Music!B75)=""),"","{ freq="&amp;Music!A75&amp;", duration="&amp;Music!B75&amp;"},")</f>
        <v/>
      </c>
    </row>
    <row r="76" spans="1:1" x14ac:dyDescent="0.25">
      <c r="A76" t="str">
        <f>IF(OR(TRIM(Music!A76)="", TRIM(Music!B76)=""),"","{ freq="&amp;Music!A76&amp;", duration="&amp;Music!B76&amp;"},")</f>
        <v/>
      </c>
    </row>
    <row r="77" spans="1:1" x14ac:dyDescent="0.25">
      <c r="A77" t="e">
        <f>IF(OR(TRIM(Music!#REF!)="", TRIM(Music!#REF!)=""),"","{ freq="&amp;Music!#REF!&amp;", duration="&amp;Music!#REF!&amp;"},")</f>
        <v>#REF!</v>
      </c>
    </row>
    <row r="78" spans="1:1" x14ac:dyDescent="0.25">
      <c r="A78" t="str">
        <f>IF(OR(TRIM(Music!A78)="", TRIM(Music!B78)=""),"","{ freq="&amp;Music!A78&amp;", duration="&amp;Music!B78&amp;"},")</f>
        <v/>
      </c>
    </row>
    <row r="79" spans="1:1" x14ac:dyDescent="0.25">
      <c r="A79" t="str">
        <f>IF(OR(TRIM(Music!A79)="", TRIM(Music!B79)=""),"","{ freq="&amp;Music!A79&amp;", duration="&amp;Music!B79&amp;"},")</f>
        <v/>
      </c>
    </row>
    <row r="80" spans="1:1" x14ac:dyDescent="0.25">
      <c r="A80" t="str">
        <f>IF(OR(TRIM(Music!A80)="", TRIM(Music!B80)=""),"","{ freq="&amp;Music!A80&amp;", duration="&amp;Music!B80&amp;"},")</f>
        <v/>
      </c>
    </row>
    <row r="81" spans="1:1" x14ac:dyDescent="0.25">
      <c r="A81" t="str">
        <f>IF(OR(TRIM(Music!A81)="", TRIM(Music!B81)=""),"","{ freq="&amp;Music!A81&amp;", duration="&amp;Music!B81&amp;"},")</f>
        <v/>
      </c>
    </row>
    <row r="82" spans="1:1" x14ac:dyDescent="0.25">
      <c r="A82" t="str">
        <f>IF(OR(TRIM(Music!A82)="", TRIM(Music!B82)=""),"","{ freq="&amp;Music!A82&amp;", duration="&amp;Music!B82&amp;"},")</f>
        <v/>
      </c>
    </row>
    <row r="83" spans="1:1" x14ac:dyDescent="0.25">
      <c r="A83" t="str">
        <f>IF(OR(TRIM(Music!A83)="", TRIM(Music!B83)=""),"","{ freq="&amp;Music!A83&amp;", duration="&amp;Music!B83&amp;"},")</f>
        <v/>
      </c>
    </row>
    <row r="84" spans="1:1" x14ac:dyDescent="0.25">
      <c r="A84" t="str">
        <f>IF(OR(TRIM(Music!A84)="", TRIM(Music!B84)=""),"","{ freq="&amp;Music!A84&amp;", duration="&amp;Music!B84&amp;"},")</f>
        <v/>
      </c>
    </row>
    <row r="85" spans="1:1" x14ac:dyDescent="0.25">
      <c r="A85" t="str">
        <f>IF(OR(TRIM(Music!A85)="", TRIM(Music!B85)=""),"","{ freq="&amp;Music!A85&amp;", duration="&amp;Music!B85&amp;"},")</f>
        <v/>
      </c>
    </row>
    <row r="86" spans="1:1" x14ac:dyDescent="0.25">
      <c r="A86" t="str">
        <f>IF(OR(TRIM(Music!A86)="", TRIM(Music!B86)=""),"","{ freq="&amp;Music!A86&amp;", duration="&amp;Music!B86&amp;"},")</f>
        <v/>
      </c>
    </row>
    <row r="87" spans="1:1" x14ac:dyDescent="0.25">
      <c r="A87" t="str">
        <f>IF(OR(TRIM(Music!A87)="", TRIM(Music!B87)=""),"","{ freq="&amp;Music!A87&amp;", duration="&amp;Music!B87&amp;"},")</f>
        <v/>
      </c>
    </row>
    <row r="88" spans="1:1" x14ac:dyDescent="0.25">
      <c r="A88" t="str">
        <f>IF(OR(TRIM(Music!A88)="", TRIM(Music!B88)=""),"","{ freq="&amp;Music!A88&amp;", duration="&amp;Music!B88&amp;"},")</f>
        <v/>
      </c>
    </row>
    <row r="89" spans="1:1" x14ac:dyDescent="0.25">
      <c r="A89" t="str">
        <f>IF(OR(TRIM(Music!A89)="", TRIM(Music!B89)=""),"","{ freq="&amp;Music!A89&amp;", duration="&amp;Music!B89&amp;"},")</f>
        <v/>
      </c>
    </row>
    <row r="90" spans="1:1" x14ac:dyDescent="0.25">
      <c r="A90" t="str">
        <f>IF(OR(TRIM(Music!A90)="", TRIM(Music!B90)=""),"","{ freq="&amp;Music!A90&amp;", duration="&amp;Music!B90&amp;"},")</f>
        <v/>
      </c>
    </row>
    <row r="91" spans="1:1" x14ac:dyDescent="0.25">
      <c r="A91" t="str">
        <f>IF(OR(TRIM(Music!A91)="", TRIM(Music!B91)=""),"","{ freq="&amp;Music!A91&amp;", duration="&amp;Music!B91&amp;"},")</f>
        <v/>
      </c>
    </row>
    <row r="92" spans="1:1" x14ac:dyDescent="0.25">
      <c r="A92" t="str">
        <f>IF(OR(TRIM(Music!A92)="", TRIM(Music!B92)=""),"","{ freq="&amp;Music!A92&amp;", duration="&amp;Music!B92&amp;"},")</f>
        <v/>
      </c>
    </row>
    <row r="93" spans="1:1" x14ac:dyDescent="0.25">
      <c r="A93" t="str">
        <f>IF(OR(TRIM(Music!A93)="", TRIM(Music!B93)=""),"","{ freq="&amp;Music!A93&amp;", duration="&amp;Music!B93&amp;"},")</f>
        <v/>
      </c>
    </row>
    <row r="94" spans="1:1" x14ac:dyDescent="0.25">
      <c r="A94" t="str">
        <f>IF(OR(TRIM(Music!A94)="", TRIM(Music!B94)=""),"","{ freq="&amp;Music!A94&amp;", duration="&amp;Music!B94&amp;"},")</f>
        <v/>
      </c>
    </row>
    <row r="95" spans="1:1" x14ac:dyDescent="0.25">
      <c r="A95" t="str">
        <f>IF(OR(TRIM(Music!A95)="", TRIM(Music!B95)=""),"","{ freq="&amp;Music!A95&amp;", duration="&amp;Music!B95&amp;"},")</f>
        <v/>
      </c>
    </row>
    <row r="96" spans="1:1" x14ac:dyDescent="0.25">
      <c r="A96" t="str">
        <f>IF(OR(TRIM(Music!A96)="", TRIM(Music!B96)=""),"","{ freq="&amp;Music!A96&amp;", duration="&amp;Music!B96&amp;"},")</f>
        <v/>
      </c>
    </row>
    <row r="97" spans="1:1" x14ac:dyDescent="0.25">
      <c r="A97" t="str">
        <f>IF(OR(TRIM(Music!A97)="", TRIM(Music!B97)=""),"","{ freq="&amp;Music!A97&amp;", duration="&amp;Music!B97&amp;"},")</f>
        <v/>
      </c>
    </row>
    <row r="98" spans="1:1" x14ac:dyDescent="0.25">
      <c r="A98" t="str">
        <f>IF(OR(TRIM(Music!A98)="", TRIM(Music!B98)=""),"","{ freq="&amp;Music!A98&amp;", duration="&amp;Music!B98&amp;"},")</f>
        <v/>
      </c>
    </row>
    <row r="99" spans="1:1" x14ac:dyDescent="0.25">
      <c r="A99" t="str">
        <f>IF(OR(TRIM(Music!A99)="", TRIM(Music!B99)=""),"","{ freq="&amp;Music!A99&amp;", duration="&amp;Music!B99&amp;"},")</f>
        <v/>
      </c>
    </row>
    <row r="100" spans="1:1" x14ac:dyDescent="0.25">
      <c r="A100" t="str">
        <f>IF(OR(TRIM(Music!A100)="", TRIM(Music!B100)=""),"","{ freq="&amp;Music!A100&amp;", duration="&amp;Music!B100&amp;"},")</f>
        <v/>
      </c>
    </row>
    <row r="101" spans="1:1" x14ac:dyDescent="0.25">
      <c r="A101" t="str">
        <f>IF(OR(TRIM(Music!A101)="", TRIM(Music!B101)=""),"","{ freq="&amp;Music!A101&amp;", duration="&amp;Music!B101&amp;"},")</f>
        <v/>
      </c>
    </row>
    <row r="102" spans="1:1" x14ac:dyDescent="0.25">
      <c r="A102" t="str">
        <f>IF(OR(TRIM(Music!A102)="", TRIM(Music!B102)=""),"","{ freq="&amp;Music!A102&amp;", duration="&amp;Music!B102&amp;"},")</f>
        <v/>
      </c>
    </row>
    <row r="103" spans="1:1" x14ac:dyDescent="0.25">
      <c r="A103" t="str">
        <f>IF(OR(TRIM(Music!A103)="", TRIM(Music!B103)=""),"","{ freq="&amp;Music!A103&amp;", duration="&amp;Music!B103&amp;"},")</f>
        <v/>
      </c>
    </row>
    <row r="104" spans="1:1" x14ac:dyDescent="0.25">
      <c r="A104" t="str">
        <f>IF(OR(TRIM(Music!A104)="", TRIM(Music!B104)=""),"","{ freq="&amp;Music!A104&amp;", duration="&amp;Music!B104&amp;"},")</f>
        <v/>
      </c>
    </row>
    <row r="105" spans="1:1" x14ac:dyDescent="0.25">
      <c r="A105" t="str">
        <f>IF(OR(TRIM(Music!A105)="", TRIM(Music!B105)=""),"","{ freq="&amp;Music!A105&amp;", duration="&amp;Music!B105&amp;"},")</f>
        <v/>
      </c>
    </row>
    <row r="106" spans="1:1" x14ac:dyDescent="0.25">
      <c r="A106" t="str">
        <f>IF(OR(TRIM(Music!A106)="", TRIM(Music!B106)=""),"","{ freq="&amp;Music!A106&amp;", duration="&amp;Music!B106&amp;"},")</f>
        <v/>
      </c>
    </row>
    <row r="107" spans="1:1" x14ac:dyDescent="0.25">
      <c r="A107" t="str">
        <f>IF(OR(TRIM(Music!A107)="", TRIM(Music!B107)=""),"","{ freq="&amp;Music!A107&amp;", duration="&amp;Music!B107&amp;"},")</f>
        <v/>
      </c>
    </row>
    <row r="108" spans="1:1" x14ac:dyDescent="0.25">
      <c r="A108" t="str">
        <f>IF(OR(TRIM(Music!A108)="", TRIM(Music!B108)=""),"","{ freq="&amp;Music!A108&amp;", duration="&amp;Music!B108&amp;"},")</f>
        <v/>
      </c>
    </row>
    <row r="109" spans="1:1" x14ac:dyDescent="0.25">
      <c r="A109" t="str">
        <f>IF(OR(TRIM(Music!A109)="", TRIM(Music!B109)=""),"","{ freq="&amp;Music!A109&amp;", duration="&amp;Music!B109&amp;"},")</f>
        <v/>
      </c>
    </row>
    <row r="110" spans="1:1" x14ac:dyDescent="0.25">
      <c r="A110" t="str">
        <f>IF(OR(TRIM(Music!A110)="", TRIM(Music!B110)=""),"","{ freq="&amp;Music!A110&amp;", duration="&amp;Music!B110&amp;"},")</f>
        <v/>
      </c>
    </row>
    <row r="111" spans="1:1" x14ac:dyDescent="0.25">
      <c r="A111" t="str">
        <f>IF(OR(TRIM(Music!A111)="", TRIM(Music!B111)=""),"","{ freq="&amp;Music!A111&amp;", duration="&amp;Music!B111&amp;"},")</f>
        <v/>
      </c>
    </row>
    <row r="112" spans="1:1" x14ac:dyDescent="0.25">
      <c r="A112" t="str">
        <f>IF(OR(TRIM(Music!A112)="", TRIM(Music!B112)=""),"","{ freq="&amp;Music!A112&amp;", duration="&amp;Music!B112&amp;"},")</f>
        <v/>
      </c>
    </row>
    <row r="113" spans="1:1" x14ac:dyDescent="0.25">
      <c r="A113" t="str">
        <f>IF(OR(TRIM(Music!A113)="", TRIM(Music!B113)=""),"","{ freq="&amp;Music!A113&amp;", duration="&amp;Music!B113&amp;"},")</f>
        <v/>
      </c>
    </row>
    <row r="114" spans="1:1" x14ac:dyDescent="0.25">
      <c r="A114" t="str">
        <f>IF(OR(TRIM(Music!A114)="", TRIM(Music!B114)=""),"","{ freq="&amp;Music!A114&amp;", duration="&amp;Music!B114&amp;"},")</f>
        <v/>
      </c>
    </row>
    <row r="115" spans="1:1" x14ac:dyDescent="0.25">
      <c r="A115" t="str">
        <f>IF(OR(TRIM(Music!A115)="", TRIM(Music!B115)=""),"","{ freq="&amp;Music!A115&amp;", duration="&amp;Music!B115&amp;"},")</f>
        <v/>
      </c>
    </row>
    <row r="116" spans="1:1" x14ac:dyDescent="0.25">
      <c r="A116" t="str">
        <f>IF(OR(TRIM(Music!A116)="", TRIM(Music!B116)=""),"","{ freq="&amp;Music!A116&amp;", duration="&amp;Music!B116&amp;"},")</f>
        <v/>
      </c>
    </row>
    <row r="117" spans="1:1" x14ac:dyDescent="0.25">
      <c r="A117" t="str">
        <f>IF(OR(TRIM(Music!A117)="", TRIM(Music!B117)=""),"","{ freq="&amp;Music!A117&amp;", duration="&amp;Music!B117&amp;"},")</f>
        <v/>
      </c>
    </row>
    <row r="118" spans="1:1" x14ac:dyDescent="0.25">
      <c r="A118" t="str">
        <f>IF(OR(TRIM(Music!A118)="", TRIM(Music!B118)=""),"","{ freq="&amp;Music!A118&amp;", duration="&amp;Music!B118&amp;"},")</f>
        <v/>
      </c>
    </row>
    <row r="119" spans="1:1" x14ac:dyDescent="0.25">
      <c r="A119" t="str">
        <f>IF(OR(TRIM(Music!A119)="", TRIM(Music!B119)=""),"","{ freq="&amp;Music!A119&amp;", duration="&amp;Music!B119&amp;"},")</f>
        <v/>
      </c>
    </row>
    <row r="120" spans="1:1" x14ac:dyDescent="0.25">
      <c r="A120" t="str">
        <f>IF(OR(TRIM(Music!A120)="", TRIM(Music!B120)=""),"","{ freq="&amp;Music!A120&amp;", duration="&amp;Music!B120&amp;"},")</f>
        <v/>
      </c>
    </row>
    <row r="121" spans="1:1" x14ac:dyDescent="0.25">
      <c r="A121" t="str">
        <f>IF(OR(TRIM(Music!A121)="", TRIM(Music!B121)=""),"","{ freq="&amp;Music!A121&amp;", duration="&amp;Music!B121&amp;"},")</f>
        <v/>
      </c>
    </row>
    <row r="122" spans="1:1" x14ac:dyDescent="0.25">
      <c r="A122" t="str">
        <f>IF(OR(TRIM(Music!A122)="", TRIM(Music!B122)=""),"","{ freq="&amp;Music!A122&amp;", duration="&amp;Music!B122&amp;"},")</f>
        <v/>
      </c>
    </row>
    <row r="123" spans="1:1" x14ac:dyDescent="0.25">
      <c r="A123" t="str">
        <f>IF(OR(TRIM(Music!A123)="", TRIM(Music!B123)=""),"","{ freq="&amp;Music!A123&amp;", duration="&amp;Music!B123&amp;"},")</f>
        <v/>
      </c>
    </row>
    <row r="124" spans="1:1" x14ac:dyDescent="0.25">
      <c r="A124" t="str">
        <f>IF(OR(TRIM(Music!A124)="", TRIM(Music!B124)=""),"","{ freq="&amp;Music!A124&amp;", duration="&amp;Music!B124&amp;"},")</f>
        <v/>
      </c>
    </row>
    <row r="125" spans="1:1" x14ac:dyDescent="0.25">
      <c r="A125" t="str">
        <f>IF(OR(TRIM(Music!A125)="", TRIM(Music!B125)=""),"","{ freq="&amp;Music!A125&amp;", duration="&amp;Music!B125&amp;"},")</f>
        <v/>
      </c>
    </row>
    <row r="126" spans="1:1" x14ac:dyDescent="0.25">
      <c r="A126" t="str">
        <f>IF(OR(TRIM(Music!A126)="", TRIM(Music!B126)=""),"","{ freq="&amp;Music!A126&amp;", duration="&amp;Music!B126&amp;"},")</f>
        <v/>
      </c>
    </row>
    <row r="127" spans="1:1" x14ac:dyDescent="0.25">
      <c r="A127" t="str">
        <f>IF(OR(TRIM(Music!A127)="", TRIM(Music!B127)=""),"","{ freq="&amp;Music!A127&amp;", duration="&amp;Music!B127&amp;"},")</f>
        <v/>
      </c>
    </row>
    <row r="128" spans="1:1" x14ac:dyDescent="0.25">
      <c r="A128" t="str">
        <f>IF(OR(TRIM(Music!A128)="", TRIM(Music!B128)=""),"","{ freq="&amp;Music!A128&amp;", duration="&amp;Music!B128&amp;"},")</f>
        <v/>
      </c>
    </row>
    <row r="129" spans="1:1" x14ac:dyDescent="0.25">
      <c r="A129" t="str">
        <f>IF(OR(TRIM(Music!A129)="", TRIM(Music!B129)=""),"","{ freq="&amp;Music!A129&amp;", duration="&amp;Music!B129&amp;"},")</f>
        <v/>
      </c>
    </row>
    <row r="130" spans="1:1" x14ac:dyDescent="0.25">
      <c r="A130" t="str">
        <f>IF(OR(TRIM(Music!A130)="", TRIM(Music!B130)=""),"","{ freq="&amp;Music!A130&amp;", duration="&amp;Music!B130&amp;"},")</f>
        <v/>
      </c>
    </row>
    <row r="131" spans="1:1" x14ac:dyDescent="0.25">
      <c r="A131" t="str">
        <f>IF(OR(TRIM(Music!A131)="", TRIM(Music!B131)=""),"","{ freq="&amp;Music!A131&amp;", duration="&amp;Music!B131&amp;"},")</f>
        <v/>
      </c>
    </row>
    <row r="132" spans="1:1" x14ac:dyDescent="0.25">
      <c r="A132" t="str">
        <f>IF(OR(TRIM(Music!A132)="", TRIM(Music!B132)=""),"","{ freq="&amp;Music!A132&amp;", duration="&amp;Music!B132&amp;"},")</f>
        <v/>
      </c>
    </row>
    <row r="133" spans="1:1" x14ac:dyDescent="0.25">
      <c r="A133" t="str">
        <f>IF(OR(TRIM(Music!A133)="", TRIM(Music!B133)=""),"","{ freq="&amp;Music!A133&amp;", duration="&amp;Music!B133&amp;"},")</f>
        <v/>
      </c>
    </row>
    <row r="134" spans="1:1" x14ac:dyDescent="0.25">
      <c r="A134" t="str">
        <f>IF(OR(TRIM(Music!A134)="", TRIM(Music!B134)=""),"","{ freq="&amp;Music!A134&amp;", duration="&amp;Music!B134&amp;"},")</f>
        <v/>
      </c>
    </row>
    <row r="135" spans="1:1" x14ac:dyDescent="0.25">
      <c r="A135" t="str">
        <f>IF(OR(TRIM(Music!A135)="", TRIM(Music!B135)=""),"","{ freq="&amp;Music!A135&amp;", duration="&amp;Music!B135&amp;"},")</f>
        <v/>
      </c>
    </row>
    <row r="136" spans="1:1" x14ac:dyDescent="0.25">
      <c r="A136" t="str">
        <f>IF(OR(TRIM(Music!A136)="", TRIM(Music!B136)=""),"","{ freq="&amp;Music!A136&amp;", duration="&amp;Music!B136&amp;"},")</f>
        <v/>
      </c>
    </row>
    <row r="137" spans="1:1" x14ac:dyDescent="0.25">
      <c r="A137" t="str">
        <f>IF(OR(TRIM(Music!A137)="", TRIM(Music!B137)=""),"","{ freq="&amp;Music!A137&amp;", duration="&amp;Music!B137&amp;"},")</f>
        <v/>
      </c>
    </row>
    <row r="138" spans="1:1" x14ac:dyDescent="0.25">
      <c r="A138" t="str">
        <f>IF(OR(TRIM(Music!A138)="", TRIM(Music!B138)=""),"","{ freq="&amp;Music!A138&amp;", duration="&amp;Music!B138&amp;"},")</f>
        <v/>
      </c>
    </row>
    <row r="139" spans="1:1" x14ac:dyDescent="0.25">
      <c r="A139" t="str">
        <f>IF(OR(TRIM(Music!A139)="", TRIM(Music!B139)=""),"","{ freq="&amp;Music!A139&amp;", duration="&amp;Music!B139&amp;"},")</f>
        <v/>
      </c>
    </row>
    <row r="140" spans="1:1" x14ac:dyDescent="0.25">
      <c r="A140" t="str">
        <f>IF(OR(TRIM(Music!A140)="", TRIM(Music!B140)=""),"","{ freq="&amp;Music!A140&amp;", duration="&amp;Music!B140&amp;"},")</f>
        <v/>
      </c>
    </row>
    <row r="141" spans="1:1" x14ac:dyDescent="0.25">
      <c r="A141" t="str">
        <f>IF(OR(TRIM(Music!A141)="", TRIM(Music!B141)=""),"","{ freq="&amp;Music!A141&amp;", duration="&amp;Music!B141&amp;"},")</f>
        <v/>
      </c>
    </row>
    <row r="142" spans="1:1" x14ac:dyDescent="0.25">
      <c r="A142" t="str">
        <f>IF(OR(TRIM(Music!A142)="", TRIM(Music!B142)=""),"","{ freq="&amp;Music!A142&amp;", duration="&amp;Music!B142&amp;"},")</f>
        <v/>
      </c>
    </row>
    <row r="143" spans="1:1" x14ac:dyDescent="0.25">
      <c r="A143" t="str">
        <f>IF(OR(TRIM(Music!A143)="", TRIM(Music!B143)=""),"","{ freq="&amp;Music!A143&amp;", duration="&amp;Music!B143&amp;"},")</f>
        <v/>
      </c>
    </row>
    <row r="144" spans="1:1" x14ac:dyDescent="0.25">
      <c r="A144" t="str">
        <f>IF(OR(TRIM(Music!A144)="", TRIM(Music!B144)=""),"","{ freq="&amp;Music!A144&amp;", duration="&amp;Music!B144&amp;"},")</f>
        <v/>
      </c>
    </row>
    <row r="145" spans="1:1" x14ac:dyDescent="0.25">
      <c r="A145" t="str">
        <f>IF(OR(TRIM(Music!A145)="", TRIM(Music!B145)=""),"","{ freq="&amp;Music!A145&amp;", duration="&amp;Music!B145&amp;"},")</f>
        <v/>
      </c>
    </row>
    <row r="146" spans="1:1" x14ac:dyDescent="0.25">
      <c r="A146" t="str">
        <f>IF(OR(TRIM(Music!A146)="", TRIM(Music!B146)=""),"","{ freq="&amp;Music!A146&amp;", duration="&amp;Music!B146&amp;"},")</f>
        <v/>
      </c>
    </row>
    <row r="147" spans="1:1" x14ac:dyDescent="0.25">
      <c r="A147" t="str">
        <f>IF(OR(TRIM(Music!A147)="", TRIM(Music!B147)=""),"","{ freq="&amp;Music!A147&amp;", duration="&amp;Music!B147&amp;"},")</f>
        <v/>
      </c>
    </row>
    <row r="148" spans="1:1" x14ac:dyDescent="0.25">
      <c r="A148" t="str">
        <f>IF(OR(TRIM(Music!A148)="", TRIM(Music!B148)=""),"","{ freq="&amp;Music!A148&amp;", duration="&amp;Music!B148&amp;"},")</f>
        <v/>
      </c>
    </row>
    <row r="149" spans="1:1" x14ac:dyDescent="0.25">
      <c r="A149" t="str">
        <f>IF(OR(TRIM(Music!A149)="", TRIM(Music!B149)=""),"","{ freq="&amp;Music!A149&amp;", duration="&amp;Music!B149&amp;"},")</f>
        <v/>
      </c>
    </row>
    <row r="150" spans="1:1" x14ac:dyDescent="0.25">
      <c r="A150" t="str">
        <f>IF(OR(TRIM(Music!A150)="", TRIM(Music!B150)=""),"","{ freq="&amp;Music!A150&amp;", duration="&amp;Music!B150&amp;"},")</f>
        <v/>
      </c>
    </row>
    <row r="151" spans="1:1" x14ac:dyDescent="0.25">
      <c r="A151" t="str">
        <f>IF(OR(TRIM(Music!A151)="", TRIM(Music!B151)=""),"","{ freq="&amp;Music!A151&amp;", duration="&amp;Music!B151&amp;"},")</f>
        <v/>
      </c>
    </row>
    <row r="152" spans="1:1" x14ac:dyDescent="0.25">
      <c r="A152" t="str">
        <f>IF(OR(TRIM(Music!A152)="", TRIM(Music!B152)=""),"","{ freq="&amp;Music!A152&amp;", duration="&amp;Music!B152&amp;"},")</f>
        <v/>
      </c>
    </row>
    <row r="153" spans="1:1" x14ac:dyDescent="0.25">
      <c r="A153" t="str">
        <f>IF(OR(TRIM(Music!A153)="", TRIM(Music!B153)=""),"","{ freq="&amp;Music!A153&amp;", duration="&amp;Music!B153&amp;"},")</f>
        <v/>
      </c>
    </row>
    <row r="154" spans="1:1" x14ac:dyDescent="0.25">
      <c r="A154" t="str">
        <f>IF(OR(TRIM(Music!A154)="", TRIM(Music!B154)=""),"","{ freq="&amp;Music!A154&amp;", duration="&amp;Music!B154&amp;"},")</f>
        <v/>
      </c>
    </row>
    <row r="155" spans="1:1" x14ac:dyDescent="0.25">
      <c r="A155" t="str">
        <f>IF(OR(TRIM(Music!A155)="", TRIM(Music!B155)=""),"","{ freq="&amp;Music!A155&amp;", duration="&amp;Music!B155&amp;"},")</f>
        <v/>
      </c>
    </row>
    <row r="156" spans="1:1" x14ac:dyDescent="0.25">
      <c r="A156" t="str">
        <f>IF(OR(TRIM(Music!A156)="", TRIM(Music!B156)=""),"","{ freq="&amp;Music!A156&amp;", duration="&amp;Music!B156&amp;"},")</f>
        <v/>
      </c>
    </row>
    <row r="157" spans="1:1" x14ac:dyDescent="0.25">
      <c r="A157" t="str">
        <f>IF(OR(TRIM(Music!A157)="", TRIM(Music!B157)=""),"","{ freq="&amp;Music!A157&amp;", duration="&amp;Music!B157&amp;"},")</f>
        <v/>
      </c>
    </row>
    <row r="158" spans="1:1" x14ac:dyDescent="0.25">
      <c r="A158" t="str">
        <f>IF(OR(TRIM(Music!A158)="", TRIM(Music!B158)=""),"","{ freq="&amp;Music!A158&amp;", duration="&amp;Music!B158&amp;"},")</f>
        <v/>
      </c>
    </row>
    <row r="159" spans="1:1" x14ac:dyDescent="0.25">
      <c r="A159" t="str">
        <f>IF(OR(TRIM(Music!A159)="", TRIM(Music!B159)=""),"","{ freq="&amp;Music!A159&amp;", duration="&amp;Music!B159&amp;"},")</f>
        <v/>
      </c>
    </row>
    <row r="160" spans="1:1" x14ac:dyDescent="0.25">
      <c r="A160" t="str">
        <f>IF(OR(TRIM(Music!A160)="", TRIM(Music!B160)=""),"","{ freq="&amp;Music!A160&amp;", duration="&amp;Music!B160&amp;"},")</f>
        <v/>
      </c>
    </row>
    <row r="161" spans="1:1" x14ac:dyDescent="0.25">
      <c r="A161" t="str">
        <f>IF(OR(TRIM(Music!A161)="", TRIM(Music!B161)=""),"","{ freq="&amp;Music!A161&amp;", duration="&amp;Music!B161&amp;"},")</f>
        <v/>
      </c>
    </row>
    <row r="162" spans="1:1" x14ac:dyDescent="0.25">
      <c r="A162" t="str">
        <f>IF(OR(TRIM(Music!A162)="", TRIM(Music!B162)=""),"","{ freq="&amp;Music!A162&amp;", duration="&amp;Music!B162&amp;"},")</f>
        <v/>
      </c>
    </row>
    <row r="163" spans="1:1" x14ac:dyDescent="0.25">
      <c r="A163" t="str">
        <f>IF(OR(TRIM(Music!A163)="", TRIM(Music!B163)=""),"","{ freq="&amp;Music!A163&amp;", duration="&amp;Music!B163&amp;"},")</f>
        <v/>
      </c>
    </row>
    <row r="164" spans="1:1" x14ac:dyDescent="0.25">
      <c r="A164" t="str">
        <f>IF(OR(TRIM(Music!A164)="", TRIM(Music!B164)=""),"","{ freq="&amp;Music!A164&amp;", duration="&amp;Music!B164&amp;"},")</f>
        <v/>
      </c>
    </row>
    <row r="165" spans="1:1" x14ac:dyDescent="0.25">
      <c r="A165" t="str">
        <f>IF(OR(TRIM(Music!A165)="", TRIM(Music!B165)=""),"","{ freq="&amp;Music!A165&amp;", duration="&amp;Music!B165&amp;"},")</f>
        <v/>
      </c>
    </row>
    <row r="166" spans="1:1" x14ac:dyDescent="0.25">
      <c r="A166" t="str">
        <f>IF(OR(TRIM(Music!A166)="", TRIM(Music!B166)=""),"","{ freq="&amp;Music!A166&amp;", duration="&amp;Music!B166&amp;"},")</f>
        <v/>
      </c>
    </row>
    <row r="167" spans="1:1" x14ac:dyDescent="0.25">
      <c r="A167" t="str">
        <f>IF(OR(TRIM(Music!A167)="", TRIM(Music!B167)=""),"","{ freq="&amp;Music!A167&amp;", duration="&amp;Music!B167&amp;"},")</f>
        <v/>
      </c>
    </row>
    <row r="168" spans="1:1" x14ac:dyDescent="0.25">
      <c r="A168" t="str">
        <f>IF(OR(TRIM(Music!A168)="", TRIM(Music!B168)=""),"","{ freq="&amp;Music!A168&amp;", duration="&amp;Music!B168&amp;"},")</f>
        <v/>
      </c>
    </row>
    <row r="169" spans="1:1" x14ac:dyDescent="0.25">
      <c r="A169" t="str">
        <f>IF(OR(TRIM(Music!A169)="", TRIM(Music!B169)=""),"","{ freq="&amp;Music!A169&amp;", duration="&amp;Music!B169&amp;"},")</f>
        <v/>
      </c>
    </row>
    <row r="170" spans="1:1" x14ac:dyDescent="0.25">
      <c r="A170" t="str">
        <f>IF(OR(TRIM(Music!A170)="", TRIM(Music!B170)=""),"","{ freq="&amp;Music!A170&amp;", duration="&amp;Music!B170&amp;"},")</f>
        <v/>
      </c>
    </row>
    <row r="171" spans="1:1" x14ac:dyDescent="0.25">
      <c r="A171" t="str">
        <f>IF(OR(TRIM(Music!A171)="", TRIM(Music!B171)=""),"","{ freq="&amp;Music!A171&amp;", duration="&amp;Music!B171&amp;"},")</f>
        <v/>
      </c>
    </row>
    <row r="172" spans="1:1" x14ac:dyDescent="0.25">
      <c r="A172" t="str">
        <f>IF(OR(TRIM(Music!A172)="", TRIM(Music!B172)=""),"","{ freq="&amp;Music!A172&amp;", duration="&amp;Music!B172&amp;"},")</f>
        <v/>
      </c>
    </row>
    <row r="173" spans="1:1" x14ac:dyDescent="0.25">
      <c r="A173" t="str">
        <f>IF(OR(TRIM(Music!A173)="", TRIM(Music!B173)=""),"","{ freq="&amp;Music!A173&amp;", duration="&amp;Music!B173&amp;"},")</f>
        <v/>
      </c>
    </row>
    <row r="174" spans="1:1" x14ac:dyDescent="0.25">
      <c r="A174" t="str">
        <f>IF(OR(TRIM(Music!A174)="", TRIM(Music!B174)=""),"","{ freq="&amp;Music!A174&amp;", duration="&amp;Music!B174&amp;"},")</f>
        <v/>
      </c>
    </row>
    <row r="175" spans="1:1" x14ac:dyDescent="0.25">
      <c r="A175" t="str">
        <f>IF(OR(TRIM(Music!A175)="", TRIM(Music!B175)=""),"","{ freq="&amp;Music!A175&amp;", duration="&amp;Music!B175&amp;"},")</f>
        <v/>
      </c>
    </row>
    <row r="176" spans="1:1" x14ac:dyDescent="0.25">
      <c r="A176" t="str">
        <f>IF(OR(TRIM(Music!A176)="", TRIM(Music!B176)=""),"","{ freq="&amp;Music!A176&amp;", duration="&amp;Music!B176&amp;"},")</f>
        <v/>
      </c>
    </row>
    <row r="177" spans="1:1" x14ac:dyDescent="0.25">
      <c r="A177" t="str">
        <f>IF(OR(TRIM(Music!A177)="", TRIM(Music!B177)=""),"","{ freq="&amp;Music!A177&amp;", duration="&amp;Music!B177&amp;"},")</f>
        <v/>
      </c>
    </row>
    <row r="178" spans="1:1" x14ac:dyDescent="0.25">
      <c r="A178" t="str">
        <f>IF(OR(TRIM(Music!A178)="", TRIM(Music!B178)=""),"","{ freq="&amp;Music!A178&amp;", duration="&amp;Music!B178&amp;"},")</f>
        <v/>
      </c>
    </row>
    <row r="179" spans="1:1" x14ac:dyDescent="0.25">
      <c r="A179" t="str">
        <f>IF(OR(TRIM(Music!A179)="", TRIM(Music!B179)=""),"","{ freq="&amp;Music!A179&amp;", duration="&amp;Music!B179&amp;"},")</f>
        <v/>
      </c>
    </row>
    <row r="180" spans="1:1" x14ac:dyDescent="0.25">
      <c r="A180" t="str">
        <f>IF(OR(TRIM(Music!A180)="", TRIM(Music!B180)=""),"","{ freq="&amp;Music!A180&amp;", duration="&amp;Music!B180&amp;"},")</f>
        <v/>
      </c>
    </row>
    <row r="181" spans="1:1" x14ac:dyDescent="0.25">
      <c r="A181" t="str">
        <f>IF(OR(TRIM(Music!A181)="", TRIM(Music!B181)=""),"","{ freq="&amp;Music!A181&amp;", duration="&amp;Music!B181&amp;"},")</f>
        <v/>
      </c>
    </row>
    <row r="182" spans="1:1" x14ac:dyDescent="0.25">
      <c r="A182" t="str">
        <f>IF(OR(TRIM(Music!A182)="", TRIM(Music!B182)=""),"","{ freq="&amp;Music!A182&amp;", duration="&amp;Music!B182&amp;"},")</f>
        <v/>
      </c>
    </row>
    <row r="183" spans="1:1" x14ac:dyDescent="0.25">
      <c r="A183" t="str">
        <f>IF(OR(TRIM(Music!A183)="", TRIM(Music!B183)=""),"","{ freq="&amp;Music!A183&amp;", duration="&amp;Music!B183&amp;"},")</f>
        <v/>
      </c>
    </row>
    <row r="184" spans="1:1" x14ac:dyDescent="0.25">
      <c r="A184" t="str">
        <f>IF(OR(TRIM(Music!A184)="", TRIM(Music!B184)=""),"","{ freq="&amp;Music!A184&amp;", duration="&amp;Music!B184&amp;"},")</f>
        <v/>
      </c>
    </row>
    <row r="185" spans="1:1" x14ac:dyDescent="0.25">
      <c r="A185" t="str">
        <f>IF(OR(TRIM(Music!A185)="", TRIM(Music!B185)=""),"","{ freq="&amp;Music!A185&amp;", duration="&amp;Music!B185&amp;"},")</f>
        <v/>
      </c>
    </row>
    <row r="186" spans="1:1" x14ac:dyDescent="0.25">
      <c r="A186" t="str">
        <f>IF(OR(TRIM(Music!A186)="", TRIM(Music!B186)=""),"","{ freq="&amp;Music!A186&amp;", duration="&amp;Music!B186&amp;"},")</f>
        <v/>
      </c>
    </row>
    <row r="187" spans="1:1" x14ac:dyDescent="0.25">
      <c r="A187" t="str">
        <f>IF(OR(TRIM(Music!A187)="", TRIM(Music!B187)=""),"","{ freq="&amp;Music!A187&amp;", duration="&amp;Music!B187&amp;"},")</f>
        <v/>
      </c>
    </row>
    <row r="188" spans="1:1" x14ac:dyDescent="0.25">
      <c r="A188" t="str">
        <f>IF(OR(TRIM(Music!A188)="", TRIM(Music!B188)=""),"","{ freq="&amp;Music!A188&amp;", duration="&amp;Music!B188&amp;"},")</f>
        <v/>
      </c>
    </row>
    <row r="189" spans="1:1" x14ac:dyDescent="0.25">
      <c r="A189" t="str">
        <f>IF(OR(TRIM(Music!A189)="", TRIM(Music!B189)=""),"","{ freq="&amp;Music!A189&amp;", duration="&amp;Music!B189&amp;"},")</f>
        <v/>
      </c>
    </row>
    <row r="190" spans="1:1" x14ac:dyDescent="0.25">
      <c r="A190" t="str">
        <f>IF(OR(TRIM(Music!A190)="", TRIM(Music!B190)=""),"","{ freq="&amp;Music!A190&amp;", duration="&amp;Music!B190&amp;"},")</f>
        <v/>
      </c>
    </row>
    <row r="191" spans="1:1" x14ac:dyDescent="0.25">
      <c r="A191" t="str">
        <f>IF(OR(TRIM(Music!A191)="", TRIM(Music!B191)=""),"","{ freq="&amp;Music!A191&amp;", duration="&amp;Music!B191&amp;"},")</f>
        <v/>
      </c>
    </row>
    <row r="192" spans="1:1" x14ac:dyDescent="0.25">
      <c r="A192" t="str">
        <f>IF(OR(TRIM(Music!A192)="", TRIM(Music!B192)=""),"","{ freq="&amp;Music!A192&amp;", duration="&amp;Music!B192&amp;"},")</f>
        <v/>
      </c>
    </row>
    <row r="193" spans="1:1" x14ac:dyDescent="0.25">
      <c r="A193" t="str">
        <f>IF(OR(TRIM(Music!A193)="", TRIM(Music!B193)=""),"","{ freq="&amp;Music!A193&amp;", duration="&amp;Music!B193&amp;"},")</f>
        <v/>
      </c>
    </row>
    <row r="194" spans="1:1" x14ac:dyDescent="0.25">
      <c r="A194" t="str">
        <f>IF(OR(TRIM(Music!A194)="", TRIM(Music!B194)=""),"","{ freq="&amp;Music!A194&amp;", duration="&amp;Music!B194&amp;"},")</f>
        <v/>
      </c>
    </row>
    <row r="195" spans="1:1" x14ac:dyDescent="0.25">
      <c r="A195" t="str">
        <f>IF(OR(TRIM(Music!A195)="", TRIM(Music!B195)=""),"","{ freq="&amp;Music!A195&amp;", duration="&amp;Music!B195&amp;"},")</f>
        <v/>
      </c>
    </row>
    <row r="196" spans="1:1" x14ac:dyDescent="0.25">
      <c r="A196" t="str">
        <f>IF(OR(TRIM(Music!A196)="", TRIM(Music!B196)=""),"","{ freq="&amp;Music!A196&amp;", duration="&amp;Music!B196&amp;"},")</f>
        <v/>
      </c>
    </row>
    <row r="197" spans="1:1" x14ac:dyDescent="0.25">
      <c r="A197" t="str">
        <f>IF(OR(TRIM(Music!A197)="", TRIM(Music!B197)=""),"","{ freq="&amp;Music!A197&amp;", duration="&amp;Music!B197&amp;"},")</f>
        <v/>
      </c>
    </row>
    <row r="198" spans="1:1" x14ac:dyDescent="0.25">
      <c r="A198" t="str">
        <f>IF(OR(TRIM(Music!A198)="", TRIM(Music!B198)=""),"","{ freq="&amp;Music!A198&amp;", duration="&amp;Music!B198&amp;"},")</f>
        <v/>
      </c>
    </row>
    <row r="199" spans="1:1" x14ac:dyDescent="0.25">
      <c r="A199" t="str">
        <f>IF(OR(TRIM(Music!A199)="", TRIM(Music!B199)=""),"","{ freq="&amp;Music!A199&amp;", duration="&amp;Music!B199&amp;"},")</f>
        <v/>
      </c>
    </row>
    <row r="200" spans="1:1" x14ac:dyDescent="0.25">
      <c r="A200" t="str">
        <f>IF(OR(TRIM(Music!A200)="", TRIM(Music!B200)=""),"","{ freq="&amp;Music!A200&amp;", duration="&amp;Music!B200&amp;"},")</f>
        <v/>
      </c>
    </row>
    <row r="201" spans="1:1" x14ac:dyDescent="0.25">
      <c r="A201" t="str">
        <f>IF(OR(TRIM(Music!A201)="", TRIM(Music!B201)=""),"","{ freq="&amp;Music!A201&amp;", duration="&amp;Music!B201&amp;"},")</f>
        <v/>
      </c>
    </row>
    <row r="202" spans="1:1" x14ac:dyDescent="0.25">
      <c r="A202" t="str">
        <f>IF(OR(TRIM(Music!A202)="", TRIM(Music!B202)=""),"","{ freq="&amp;Music!A202&amp;", duration="&amp;Music!B202&amp;"},")</f>
        <v/>
      </c>
    </row>
    <row r="203" spans="1:1" x14ac:dyDescent="0.25">
      <c r="A203" t="str">
        <f>IF(OR(TRIM(Music!A203)="", TRIM(Music!B203)=""),"","{ freq="&amp;Music!A203&amp;", duration="&amp;Music!B203&amp;"},")</f>
        <v/>
      </c>
    </row>
    <row r="204" spans="1:1" x14ac:dyDescent="0.25">
      <c r="A204" t="str">
        <f>IF(OR(TRIM(Music!A204)="", TRIM(Music!B204)=""),"","{ freq="&amp;Music!A204&amp;", duration="&amp;Music!B204&amp;"},")</f>
        <v/>
      </c>
    </row>
    <row r="205" spans="1:1" x14ac:dyDescent="0.25">
      <c r="A205" t="str">
        <f>IF(OR(TRIM(Music!A205)="", TRIM(Music!B205)=""),"","{ freq="&amp;Music!A205&amp;", duration="&amp;Music!B205&amp;"},")</f>
        <v/>
      </c>
    </row>
    <row r="206" spans="1:1" x14ac:dyDescent="0.25">
      <c r="A206" t="str">
        <f>IF(OR(TRIM(Music!A206)="", TRIM(Music!B206)=""),"","{ freq="&amp;Music!A206&amp;", duration="&amp;Music!B206&amp;"},")</f>
        <v/>
      </c>
    </row>
    <row r="207" spans="1:1" x14ac:dyDescent="0.25">
      <c r="A207" t="str">
        <f>IF(OR(TRIM(Music!A207)="", TRIM(Music!B207)=""),"","{ freq="&amp;Music!A207&amp;", duration="&amp;Music!B207&amp;"},")</f>
        <v/>
      </c>
    </row>
    <row r="208" spans="1:1" x14ac:dyDescent="0.25">
      <c r="A208" t="str">
        <f>IF(OR(TRIM(Music!A208)="", TRIM(Music!B208)=""),"","{ freq="&amp;Music!A208&amp;", duration="&amp;Music!B208&amp;"},")</f>
        <v/>
      </c>
    </row>
    <row r="209" spans="1:1" x14ac:dyDescent="0.25">
      <c r="A209" t="str">
        <f>IF(OR(TRIM(Music!A209)="", TRIM(Music!B209)=""),"","{ freq="&amp;Music!A209&amp;", duration="&amp;Music!B209&amp;"},")</f>
        <v/>
      </c>
    </row>
    <row r="210" spans="1:1" x14ac:dyDescent="0.25">
      <c r="A210" t="str">
        <f>IF(OR(TRIM(Music!A210)="", TRIM(Music!B210)=""),"","{ freq="&amp;Music!A210&amp;", duration="&amp;Music!B210&amp;"},")</f>
        <v/>
      </c>
    </row>
    <row r="211" spans="1:1" x14ac:dyDescent="0.25">
      <c r="A211" t="str">
        <f>IF(OR(TRIM(Music!A211)="", TRIM(Music!B211)=""),"","{ freq="&amp;Music!A211&amp;", duration="&amp;Music!B211&amp;"},")</f>
        <v/>
      </c>
    </row>
    <row r="212" spans="1:1" x14ac:dyDescent="0.25">
      <c r="A212" t="str">
        <f>IF(OR(TRIM(Music!A212)="", TRIM(Music!B212)=""),"","{ freq="&amp;Music!A212&amp;", duration="&amp;Music!B212&amp;"},")</f>
        <v/>
      </c>
    </row>
    <row r="213" spans="1:1" x14ac:dyDescent="0.25">
      <c r="A213" t="str">
        <f>IF(OR(TRIM(Music!A213)="", TRIM(Music!B213)=""),"","{ freq="&amp;Music!A213&amp;", duration="&amp;Music!B213&amp;"},")</f>
        <v/>
      </c>
    </row>
    <row r="214" spans="1:1" x14ac:dyDescent="0.25">
      <c r="A214" t="str">
        <f>IF(OR(TRIM(Music!A214)="", TRIM(Music!B214)=""),"","{ freq="&amp;Music!A214&amp;", duration="&amp;Music!B214&amp;"},")</f>
        <v/>
      </c>
    </row>
    <row r="215" spans="1:1" x14ac:dyDescent="0.25">
      <c r="A215" t="str">
        <f>IF(OR(TRIM(Music!A215)="", TRIM(Music!B215)=""),"","{ freq="&amp;Music!A215&amp;", duration="&amp;Music!B215&amp;"},")</f>
        <v/>
      </c>
    </row>
    <row r="216" spans="1:1" x14ac:dyDescent="0.25">
      <c r="A216" t="str">
        <f>IF(OR(TRIM(Music!A216)="", TRIM(Music!B216)=""),"","{ freq="&amp;Music!A216&amp;", duration="&amp;Music!B216&amp;"},")</f>
        <v/>
      </c>
    </row>
    <row r="217" spans="1:1" x14ac:dyDescent="0.25">
      <c r="A217" t="str">
        <f>IF(OR(TRIM(Music!A217)="", TRIM(Music!B217)=""),"","{ freq="&amp;Music!A217&amp;", duration="&amp;Music!B217&amp;"},")</f>
        <v/>
      </c>
    </row>
    <row r="218" spans="1:1" x14ac:dyDescent="0.25">
      <c r="A218" t="str">
        <f>IF(OR(TRIM(Music!A218)="", TRIM(Music!B218)=""),"","{ freq="&amp;Music!A218&amp;", duration="&amp;Music!B218&amp;"},")</f>
        <v/>
      </c>
    </row>
    <row r="219" spans="1:1" x14ac:dyDescent="0.25">
      <c r="A219" t="str">
        <f>IF(OR(TRIM(Music!A219)="", TRIM(Music!B219)=""),"","{ freq="&amp;Music!A219&amp;", duration="&amp;Music!B219&amp;"},")</f>
        <v/>
      </c>
    </row>
    <row r="220" spans="1:1" x14ac:dyDescent="0.25">
      <c r="A220" t="str">
        <f>IF(OR(TRIM(Music!A220)="", TRIM(Music!B220)=""),"","{ freq="&amp;Music!A220&amp;", duration="&amp;Music!B220&amp;"},")</f>
        <v/>
      </c>
    </row>
    <row r="221" spans="1:1" x14ac:dyDescent="0.25">
      <c r="A221" t="str">
        <f>IF(OR(TRIM(Music!A221)="", TRIM(Music!B221)=""),"","{ freq="&amp;Music!A221&amp;", duration="&amp;Music!B221&amp;"},")</f>
        <v/>
      </c>
    </row>
    <row r="222" spans="1:1" x14ac:dyDescent="0.25">
      <c r="A222" t="str">
        <f>IF(OR(TRIM(Music!A222)="", TRIM(Music!B222)=""),"","{ freq="&amp;Music!A222&amp;", duration="&amp;Music!B222&amp;"},")</f>
        <v/>
      </c>
    </row>
    <row r="223" spans="1:1" x14ac:dyDescent="0.25">
      <c r="A223" t="str">
        <f>IF(OR(TRIM(Music!A223)="", TRIM(Music!B223)=""),"","{ freq="&amp;Music!A223&amp;", duration="&amp;Music!B223&amp;"},")</f>
        <v/>
      </c>
    </row>
    <row r="224" spans="1:1" x14ac:dyDescent="0.25">
      <c r="A224" t="str">
        <f>IF(OR(TRIM(Music!A224)="", TRIM(Music!B224)=""),"","{ freq="&amp;Music!A224&amp;", duration="&amp;Music!B224&amp;"},")</f>
        <v/>
      </c>
    </row>
    <row r="225" spans="1:1" x14ac:dyDescent="0.25">
      <c r="A225" t="str">
        <f>IF(OR(TRIM(Music!A225)="", TRIM(Music!B225)=""),"","{ freq="&amp;Music!A225&amp;", duration="&amp;Music!B225&amp;"},")</f>
        <v/>
      </c>
    </row>
    <row r="226" spans="1:1" x14ac:dyDescent="0.25">
      <c r="A226" t="str">
        <f>IF(OR(TRIM(Music!A226)="", TRIM(Music!B226)=""),"","{ freq="&amp;Music!A226&amp;", duration="&amp;Music!B226&amp;"},")</f>
        <v/>
      </c>
    </row>
    <row r="227" spans="1:1" x14ac:dyDescent="0.25">
      <c r="A227" t="str">
        <f>IF(OR(TRIM(Music!A227)="", TRIM(Music!B227)=""),"","{ freq="&amp;Music!A227&amp;", duration="&amp;Music!B227&amp;"},")</f>
        <v/>
      </c>
    </row>
    <row r="228" spans="1:1" x14ac:dyDescent="0.25">
      <c r="A228" t="str">
        <f>IF(OR(TRIM(Music!A228)="", TRIM(Music!B228)=""),"","{ freq="&amp;Music!A228&amp;", duration="&amp;Music!B228&amp;"},")</f>
        <v/>
      </c>
    </row>
    <row r="229" spans="1:1" x14ac:dyDescent="0.25">
      <c r="A229" t="str">
        <f>IF(OR(TRIM(Music!A229)="", TRIM(Music!B229)=""),"","{ freq="&amp;Music!A229&amp;", duration="&amp;Music!B229&amp;"},")</f>
        <v/>
      </c>
    </row>
    <row r="230" spans="1:1" x14ac:dyDescent="0.25">
      <c r="A230" t="str">
        <f>IF(OR(TRIM(Music!A230)="", TRIM(Music!B230)=""),"","{ freq="&amp;Music!A230&amp;", duration="&amp;Music!B230&amp;"},")</f>
        <v/>
      </c>
    </row>
    <row r="231" spans="1:1" x14ac:dyDescent="0.25">
      <c r="A231" t="str">
        <f>IF(OR(TRIM(Music!A231)="", TRIM(Music!B231)=""),"","{ freq="&amp;Music!A231&amp;", duration="&amp;Music!B231&amp;"},")</f>
        <v/>
      </c>
    </row>
    <row r="232" spans="1:1" x14ac:dyDescent="0.25">
      <c r="A232" t="str">
        <f>IF(OR(TRIM(Music!A232)="", TRIM(Music!B232)=""),"","{ freq="&amp;Music!A232&amp;", duration="&amp;Music!B232&amp;"},")</f>
        <v/>
      </c>
    </row>
    <row r="233" spans="1:1" x14ac:dyDescent="0.25">
      <c r="A233" t="str">
        <f>IF(OR(TRIM(Music!A233)="", TRIM(Music!B233)=""),"","{ freq="&amp;Music!A233&amp;", duration="&amp;Music!B233&amp;"},")</f>
        <v/>
      </c>
    </row>
    <row r="234" spans="1:1" x14ac:dyDescent="0.25">
      <c r="A234" t="str">
        <f>IF(OR(TRIM(Music!A234)="", TRIM(Music!B234)=""),"","{ freq="&amp;Music!A234&amp;", duration="&amp;Music!B234&amp;"},")</f>
        <v/>
      </c>
    </row>
    <row r="235" spans="1:1" x14ac:dyDescent="0.25">
      <c r="A235" t="str">
        <f>IF(OR(TRIM(Music!A235)="", TRIM(Music!B235)=""),"","{ freq="&amp;Music!A235&amp;", duration="&amp;Music!B235&amp;"},")</f>
        <v/>
      </c>
    </row>
    <row r="236" spans="1:1" x14ac:dyDescent="0.25">
      <c r="A236" t="str">
        <f>IF(OR(TRIM(Music!A236)="", TRIM(Music!B236)=""),"","{ freq="&amp;Music!A236&amp;", duration="&amp;Music!B236&amp;"},")</f>
        <v/>
      </c>
    </row>
    <row r="237" spans="1:1" x14ac:dyDescent="0.25">
      <c r="A237" t="str">
        <f>IF(OR(TRIM(Music!A237)="", TRIM(Music!B237)=""),"","{ freq="&amp;Music!A237&amp;", duration="&amp;Music!B237&amp;"},")</f>
        <v/>
      </c>
    </row>
    <row r="238" spans="1:1" x14ac:dyDescent="0.25">
      <c r="A238" t="str">
        <f>IF(OR(TRIM(Music!A238)="", TRIM(Music!B238)=""),"","{ freq="&amp;Music!A238&amp;", duration="&amp;Music!B238&amp;"},")</f>
        <v/>
      </c>
    </row>
    <row r="239" spans="1:1" x14ac:dyDescent="0.25">
      <c r="A239" t="str">
        <f>IF(OR(TRIM(Music!A239)="", TRIM(Music!B239)=""),"","{ freq="&amp;Music!A239&amp;", duration="&amp;Music!B239&amp;"},")</f>
        <v/>
      </c>
    </row>
    <row r="240" spans="1:1" x14ac:dyDescent="0.25">
      <c r="A240" t="str">
        <f>IF(OR(TRIM(Music!A240)="", TRIM(Music!B240)=""),"","{ freq="&amp;Music!A240&amp;", duration="&amp;Music!B240&amp;"},")</f>
        <v/>
      </c>
    </row>
    <row r="241" spans="1:1" x14ac:dyDescent="0.25">
      <c r="A241" t="str">
        <f>IF(OR(TRIM(Music!A241)="", TRIM(Music!B241)=""),"","{ freq="&amp;Music!A241&amp;", duration="&amp;Music!B241&amp;"},")</f>
        <v/>
      </c>
    </row>
    <row r="242" spans="1:1" x14ac:dyDescent="0.25">
      <c r="A242" t="str">
        <f>IF(OR(TRIM(Music!A242)="", TRIM(Music!B242)=""),"","{ freq="&amp;Music!A242&amp;", duration="&amp;Music!B242&amp;"},")</f>
        <v/>
      </c>
    </row>
    <row r="243" spans="1:1" x14ac:dyDescent="0.25">
      <c r="A243" t="str">
        <f>IF(OR(TRIM(Music!A243)="", TRIM(Music!B243)=""),"","{ freq="&amp;Music!A243&amp;", duration="&amp;Music!B243&amp;"},")</f>
        <v/>
      </c>
    </row>
    <row r="244" spans="1:1" x14ac:dyDescent="0.25">
      <c r="A244" t="str">
        <f>IF(OR(TRIM(Music!A244)="", TRIM(Music!B244)=""),"","{ freq="&amp;Music!A244&amp;", duration="&amp;Music!B244&amp;"},")</f>
        <v/>
      </c>
    </row>
    <row r="245" spans="1:1" x14ac:dyDescent="0.25">
      <c r="A245" t="str">
        <f>IF(OR(TRIM(Music!A245)="", TRIM(Music!B245)=""),"","{ freq="&amp;Music!A245&amp;", duration="&amp;Music!B245&amp;"},")</f>
        <v/>
      </c>
    </row>
    <row r="246" spans="1:1" x14ac:dyDescent="0.25">
      <c r="A246" t="str">
        <f>IF(OR(TRIM(Music!A246)="", TRIM(Music!B246)=""),"","{ freq="&amp;Music!A246&amp;", duration="&amp;Music!B246&amp;"},")</f>
        <v/>
      </c>
    </row>
    <row r="247" spans="1:1" x14ac:dyDescent="0.25">
      <c r="A247" t="str">
        <f>IF(OR(TRIM(Music!A247)="", TRIM(Music!B247)=""),"","{ freq="&amp;Music!A247&amp;", duration="&amp;Music!B247&amp;"},")</f>
        <v/>
      </c>
    </row>
    <row r="248" spans="1:1" x14ac:dyDescent="0.25">
      <c r="A248" t="str">
        <f>IF(OR(TRIM(Music!A248)="", TRIM(Music!B248)=""),"","{ freq="&amp;Music!A248&amp;", duration="&amp;Music!B248&amp;"},")</f>
        <v/>
      </c>
    </row>
    <row r="249" spans="1:1" x14ac:dyDescent="0.25">
      <c r="A249" t="str">
        <f>IF(OR(TRIM(Music!A249)="", TRIM(Music!B249)=""),"","{ freq="&amp;Music!A249&amp;", duration="&amp;Music!B249&amp;"},")</f>
        <v/>
      </c>
    </row>
    <row r="250" spans="1:1" x14ac:dyDescent="0.25">
      <c r="A250" t="str">
        <f>IF(OR(TRIM(Music!A250)="", TRIM(Music!B250)=""),"","{ freq="&amp;Music!A250&amp;", duration="&amp;Music!B250&amp;"},")</f>
        <v/>
      </c>
    </row>
    <row r="251" spans="1:1" x14ac:dyDescent="0.25">
      <c r="A251" t="str">
        <f>IF(OR(TRIM(Music!A251)="", TRIM(Music!B251)=""),"","{ freq="&amp;Music!A251&amp;", duration="&amp;Music!B251&amp;"},")</f>
        <v/>
      </c>
    </row>
    <row r="252" spans="1:1" x14ac:dyDescent="0.25">
      <c r="A252" t="str">
        <f>IF(OR(TRIM(Music!A252)="", TRIM(Music!B252)=""),"","{ freq="&amp;Music!A252&amp;", duration="&amp;Music!B252&amp;"},")</f>
        <v/>
      </c>
    </row>
    <row r="253" spans="1:1" x14ac:dyDescent="0.25">
      <c r="A253" t="str">
        <f>IF(OR(TRIM(Music!A253)="", TRIM(Music!B253)=""),"","{ freq="&amp;Music!A253&amp;", duration="&amp;Music!B253&amp;"},")</f>
        <v/>
      </c>
    </row>
    <row r="254" spans="1:1" x14ac:dyDescent="0.25">
      <c r="A254" t="str">
        <f>IF(OR(TRIM(Music!A254)="", TRIM(Music!B254)=""),"","{ freq="&amp;Music!A254&amp;", duration="&amp;Music!B254&amp;"},")</f>
        <v/>
      </c>
    </row>
    <row r="255" spans="1:1" x14ac:dyDescent="0.25">
      <c r="A255" t="str">
        <f>IF(OR(TRIM(Music!A255)="", TRIM(Music!B255)=""),"","{ freq="&amp;Music!A255&amp;", duration="&amp;Music!B255&amp;"},")</f>
        <v/>
      </c>
    </row>
    <row r="256" spans="1:1" x14ac:dyDescent="0.25">
      <c r="A256" t="str">
        <f>IF(OR(TRIM(Music!A256)="", TRIM(Music!B256)=""),"","{ freq="&amp;Music!A256&amp;", duration="&amp;Music!B256&amp;"},")</f>
        <v/>
      </c>
    </row>
    <row r="257" spans="1:1" x14ac:dyDescent="0.25">
      <c r="A257" t="str">
        <f>IF(OR(TRIM(Music!A257)="", TRIM(Music!B257)=""),"","{ freq="&amp;Music!A257&amp;", duration="&amp;Music!B257&amp;"},")</f>
        <v/>
      </c>
    </row>
    <row r="258" spans="1:1" x14ac:dyDescent="0.25">
      <c r="A258" t="str">
        <f>IF(OR(TRIM(Music!A258)="", TRIM(Music!B258)=""),"","{ freq="&amp;Music!A258&amp;", duration="&amp;Music!B258&amp;"},")</f>
        <v/>
      </c>
    </row>
    <row r="259" spans="1:1" x14ac:dyDescent="0.25">
      <c r="A259" t="str">
        <f>IF(OR(TRIM(Music!A259)="", TRIM(Music!B259)=""),"","{ freq="&amp;Music!A259&amp;", duration="&amp;Music!B259&amp;"},")</f>
        <v/>
      </c>
    </row>
    <row r="260" spans="1:1" x14ac:dyDescent="0.25">
      <c r="A260" t="str">
        <f>IF(OR(TRIM(Music!A260)="", TRIM(Music!B260)=""),"","{ freq="&amp;Music!A260&amp;", duration="&amp;Music!B260&amp;"},")</f>
        <v/>
      </c>
    </row>
    <row r="261" spans="1:1" x14ac:dyDescent="0.25">
      <c r="A261" t="str">
        <f>IF(OR(TRIM(Music!A261)="", TRIM(Music!B261)=""),"","{ freq="&amp;Music!A261&amp;", duration="&amp;Music!B261&amp;"},")</f>
        <v/>
      </c>
    </row>
    <row r="262" spans="1:1" x14ac:dyDescent="0.25">
      <c r="A262" t="str">
        <f>IF(OR(TRIM(Music!A262)="", TRIM(Music!B262)=""),"","{ freq="&amp;Music!A262&amp;", duration="&amp;Music!B262&amp;"},")</f>
        <v/>
      </c>
    </row>
    <row r="263" spans="1:1" x14ac:dyDescent="0.25">
      <c r="A263" t="str">
        <f>IF(OR(TRIM(Music!A263)="", TRIM(Music!B263)=""),"","{ freq="&amp;Music!A263&amp;", duration="&amp;Music!B263&amp;"},")</f>
        <v/>
      </c>
    </row>
    <row r="264" spans="1:1" x14ac:dyDescent="0.25">
      <c r="A264" t="str">
        <f>IF(OR(TRIM(Music!A264)="", TRIM(Music!B264)=""),"","{ freq="&amp;Music!A264&amp;", duration="&amp;Music!B264&amp;"},")</f>
        <v/>
      </c>
    </row>
    <row r="265" spans="1:1" x14ac:dyDescent="0.25">
      <c r="A265" t="str">
        <f>IF(OR(TRIM(Music!A265)="", TRIM(Music!B265)=""),"","{ freq="&amp;Music!A265&amp;", duration="&amp;Music!B265&amp;"},")</f>
        <v/>
      </c>
    </row>
    <row r="266" spans="1:1" x14ac:dyDescent="0.25">
      <c r="A266" t="str">
        <f>IF(OR(TRIM(Music!A266)="", TRIM(Music!B266)=""),"","{ freq="&amp;Music!A266&amp;", duration="&amp;Music!B266&amp;"},")</f>
        <v/>
      </c>
    </row>
    <row r="267" spans="1:1" x14ac:dyDescent="0.25">
      <c r="A267" t="str">
        <f>IF(OR(TRIM(Music!A267)="", TRIM(Music!B267)=""),"","{ freq="&amp;Music!A267&amp;", duration="&amp;Music!B267&amp;"},")</f>
        <v/>
      </c>
    </row>
    <row r="268" spans="1:1" x14ac:dyDescent="0.25">
      <c r="A268" t="str">
        <f>IF(OR(TRIM(Music!A268)="", TRIM(Music!B268)=""),"","{ freq="&amp;Music!A268&amp;", duration="&amp;Music!B268&amp;"},")</f>
        <v/>
      </c>
    </row>
    <row r="269" spans="1:1" x14ac:dyDescent="0.25">
      <c r="A269" t="str">
        <f>IF(OR(TRIM(Music!A269)="", TRIM(Music!B269)=""),"","{ freq="&amp;Music!A269&amp;", duration="&amp;Music!B269&amp;"},")</f>
        <v/>
      </c>
    </row>
    <row r="270" spans="1:1" x14ac:dyDescent="0.25">
      <c r="A270" t="str">
        <f>IF(OR(TRIM(Music!A270)="", TRIM(Music!B270)=""),"","{ freq="&amp;Music!A270&amp;", duration="&amp;Music!B270&amp;"},")</f>
        <v/>
      </c>
    </row>
    <row r="271" spans="1:1" x14ac:dyDescent="0.25">
      <c r="A271" t="str">
        <f>IF(OR(TRIM(Music!A271)="", TRIM(Music!B271)=""),"","{ freq="&amp;Music!A271&amp;", duration="&amp;Music!B271&amp;"},")</f>
        <v/>
      </c>
    </row>
    <row r="272" spans="1:1" x14ac:dyDescent="0.25">
      <c r="A272" t="str">
        <f>IF(OR(TRIM(Music!A272)="", TRIM(Music!B272)=""),"","{ freq="&amp;Music!A272&amp;", duration="&amp;Music!B272&amp;"},")</f>
        <v/>
      </c>
    </row>
    <row r="273" spans="1:1" x14ac:dyDescent="0.25">
      <c r="A273" t="str">
        <f>IF(OR(TRIM(Music!A273)="", TRIM(Music!B273)=""),"","{ freq="&amp;Music!A273&amp;", duration="&amp;Music!B273&amp;"},")</f>
        <v/>
      </c>
    </row>
    <row r="274" spans="1:1" x14ac:dyDescent="0.25">
      <c r="A274" t="str">
        <f>IF(OR(TRIM(Music!A274)="", TRIM(Music!B274)=""),"","{ freq="&amp;Music!A274&amp;", duration="&amp;Music!B274&amp;"},")</f>
        <v/>
      </c>
    </row>
    <row r="275" spans="1:1" x14ac:dyDescent="0.25">
      <c r="A275" t="str">
        <f>IF(OR(TRIM(Music!A275)="", TRIM(Music!B275)=""),"","{ freq="&amp;Music!A275&amp;", duration="&amp;Music!B275&amp;"},")</f>
        <v/>
      </c>
    </row>
    <row r="276" spans="1:1" x14ac:dyDescent="0.25">
      <c r="A276" t="str">
        <f>IF(OR(TRIM(Music!A276)="", TRIM(Music!B276)=""),"","{ freq="&amp;Music!A276&amp;", duration="&amp;Music!B276&amp;"},")</f>
        <v/>
      </c>
    </row>
    <row r="277" spans="1:1" x14ac:dyDescent="0.25">
      <c r="A277" t="str">
        <f>IF(OR(TRIM(Music!A277)="", TRIM(Music!B277)=""),"","{ freq="&amp;Music!A277&amp;", duration="&amp;Music!B277&amp;"},")</f>
        <v/>
      </c>
    </row>
    <row r="278" spans="1:1" x14ac:dyDescent="0.25">
      <c r="A278" t="str">
        <f>IF(OR(TRIM(Music!A278)="", TRIM(Music!B278)=""),"","{ freq="&amp;Music!A278&amp;", duration="&amp;Music!B278&amp;"},")</f>
        <v/>
      </c>
    </row>
    <row r="279" spans="1:1" x14ac:dyDescent="0.25">
      <c r="A279" t="str">
        <f>IF(OR(TRIM(Music!A279)="", TRIM(Music!B279)=""),"","{ freq="&amp;Music!A279&amp;", duration="&amp;Music!B279&amp;"},")</f>
        <v/>
      </c>
    </row>
    <row r="280" spans="1:1" x14ac:dyDescent="0.25">
      <c r="A280" t="str">
        <f>IF(OR(TRIM(Music!A280)="", TRIM(Music!B280)=""),"","{ freq="&amp;Music!A280&amp;", duration="&amp;Music!B280&amp;"},")</f>
        <v/>
      </c>
    </row>
    <row r="281" spans="1:1" x14ac:dyDescent="0.25">
      <c r="A281" t="str">
        <f>IF(OR(TRIM(Music!A281)="", TRIM(Music!B281)=""),"","{ freq="&amp;Music!A281&amp;", duration="&amp;Music!B281&amp;"},")</f>
        <v/>
      </c>
    </row>
    <row r="282" spans="1:1" x14ac:dyDescent="0.25">
      <c r="A282" t="str">
        <f>IF(OR(TRIM(Music!A282)="", TRIM(Music!B282)=""),"","{ freq="&amp;Music!A282&amp;", duration="&amp;Music!B282&amp;"},")</f>
        <v/>
      </c>
    </row>
    <row r="283" spans="1:1" x14ac:dyDescent="0.25">
      <c r="A283" t="str">
        <f>IF(OR(TRIM(Music!A283)="", TRIM(Music!B283)=""),"","{ freq="&amp;Music!A283&amp;", duration="&amp;Music!B283&amp;"},")</f>
        <v/>
      </c>
    </row>
    <row r="284" spans="1:1" x14ac:dyDescent="0.25">
      <c r="A284" t="str">
        <f>IF(OR(TRIM(Music!A284)="", TRIM(Music!B284)=""),"","{ freq="&amp;Music!A284&amp;", duration="&amp;Music!B284&amp;"},")</f>
        <v/>
      </c>
    </row>
    <row r="285" spans="1:1" x14ac:dyDescent="0.25">
      <c r="A285" t="str">
        <f>IF(OR(TRIM(Music!A285)="", TRIM(Music!B285)=""),"","{ freq="&amp;Music!A285&amp;", duration="&amp;Music!B285&amp;"},")</f>
        <v/>
      </c>
    </row>
    <row r="286" spans="1:1" x14ac:dyDescent="0.25">
      <c r="A286" t="str">
        <f>IF(OR(TRIM(Music!A286)="", TRIM(Music!B286)=""),"","{ freq="&amp;Music!A286&amp;", duration="&amp;Music!B286&amp;"},")</f>
        <v/>
      </c>
    </row>
    <row r="287" spans="1:1" x14ac:dyDescent="0.25">
      <c r="A287" t="str">
        <f>IF(OR(TRIM(Music!A287)="", TRIM(Music!B287)=""),"","{ freq="&amp;Music!A287&amp;", duration="&amp;Music!B287&amp;"},")</f>
        <v/>
      </c>
    </row>
    <row r="288" spans="1:1" x14ac:dyDescent="0.25">
      <c r="A288" t="str">
        <f>IF(OR(TRIM(Music!A288)="", TRIM(Music!B288)=""),"","{ freq="&amp;Music!A288&amp;", duration="&amp;Music!B288&amp;"},")</f>
        <v/>
      </c>
    </row>
    <row r="289" spans="1:1" x14ac:dyDescent="0.25">
      <c r="A289" t="str">
        <f>IF(OR(TRIM(Music!A289)="", TRIM(Music!B289)=""),"","{ freq="&amp;Music!A289&amp;", duration="&amp;Music!B289&amp;"},")</f>
        <v/>
      </c>
    </row>
    <row r="290" spans="1:1" x14ac:dyDescent="0.25">
      <c r="A290" t="str">
        <f>IF(OR(TRIM(Music!A290)="", TRIM(Music!B290)=""),"","{ freq="&amp;Music!A290&amp;", duration="&amp;Music!B290&amp;"},")</f>
        <v/>
      </c>
    </row>
    <row r="291" spans="1:1" x14ac:dyDescent="0.25">
      <c r="A291" t="str">
        <f>IF(OR(TRIM(Music!A291)="", TRIM(Music!B291)=""),"","{ freq="&amp;Music!A291&amp;", duration="&amp;Music!B291&amp;"},")</f>
        <v/>
      </c>
    </row>
    <row r="292" spans="1:1" x14ac:dyDescent="0.25">
      <c r="A292" t="str">
        <f>IF(OR(TRIM(Music!A292)="", TRIM(Music!B292)=""),"","{ freq="&amp;Music!A292&amp;", duration="&amp;Music!B292&amp;"},")</f>
        <v/>
      </c>
    </row>
    <row r="293" spans="1:1" x14ac:dyDescent="0.25">
      <c r="A293" t="str">
        <f>IF(OR(TRIM(Music!A293)="", TRIM(Music!B293)=""),"","{ freq="&amp;Music!A293&amp;", duration="&amp;Music!B293&amp;"},")</f>
        <v/>
      </c>
    </row>
    <row r="294" spans="1:1" x14ac:dyDescent="0.25">
      <c r="A294" t="str">
        <f>IF(OR(TRIM(Music!A294)="", TRIM(Music!B294)=""),"","{ freq="&amp;Music!A294&amp;", duration="&amp;Music!B294&amp;"},")</f>
        <v/>
      </c>
    </row>
    <row r="295" spans="1:1" x14ac:dyDescent="0.25">
      <c r="A295" t="str">
        <f>IF(OR(TRIM(Music!A295)="", TRIM(Music!B295)=""),"","{ freq="&amp;Music!A295&amp;", duration="&amp;Music!B295&amp;"},")</f>
        <v/>
      </c>
    </row>
    <row r="296" spans="1:1" x14ac:dyDescent="0.25">
      <c r="A296" t="str">
        <f>IF(OR(TRIM(Music!A296)="", TRIM(Music!B296)=""),"","{ freq="&amp;Music!A296&amp;", duration="&amp;Music!B296&amp;"},")</f>
        <v/>
      </c>
    </row>
    <row r="297" spans="1:1" x14ac:dyDescent="0.25">
      <c r="A297" t="str">
        <f>IF(OR(TRIM(Music!A297)="", TRIM(Music!B297)=""),"","{ freq="&amp;Music!A297&amp;", duration="&amp;Music!B297&amp;"},")</f>
        <v/>
      </c>
    </row>
    <row r="298" spans="1:1" x14ac:dyDescent="0.25">
      <c r="A298" t="str">
        <f>IF(OR(TRIM(Music!A298)="", TRIM(Music!B298)=""),"","{ freq="&amp;Music!A298&amp;", duration="&amp;Music!B298&amp;"},")</f>
        <v/>
      </c>
    </row>
    <row r="299" spans="1:1" x14ac:dyDescent="0.25">
      <c r="A299" t="str">
        <f>IF(OR(TRIM(Music!A299)="", TRIM(Music!B299)=""),"","{ freq="&amp;Music!A299&amp;", duration="&amp;Music!B299&amp;"},")</f>
        <v/>
      </c>
    </row>
    <row r="300" spans="1:1" x14ac:dyDescent="0.25">
      <c r="A300" t="str">
        <f>IF(OR(TRIM(Music!A300)="", TRIM(Music!B300)=""),"","{ freq="&amp;Music!A300&amp;", duration="&amp;Music!B300&amp;"},")</f>
        <v/>
      </c>
    </row>
    <row r="301" spans="1:1" x14ac:dyDescent="0.25">
      <c r="A301" t="str">
        <f>IF(OR(TRIM(Music!A301)="", TRIM(Music!B301)=""),"","{ freq="&amp;Music!A301&amp;", duration="&amp;Music!B301&amp;"},")</f>
        <v/>
      </c>
    </row>
    <row r="302" spans="1:1" x14ac:dyDescent="0.25">
      <c r="A302" t="str">
        <f>IF(OR(TRIM(Music!A302)="", TRIM(Music!B302)=""),"","{ freq="&amp;Music!A302&amp;", duration="&amp;Music!B302&amp;"},")</f>
        <v/>
      </c>
    </row>
    <row r="303" spans="1:1" x14ac:dyDescent="0.25">
      <c r="A303" t="str">
        <f>IF(OR(TRIM(Music!A303)="", TRIM(Music!B303)=""),"","{ freq="&amp;Music!A303&amp;", duration="&amp;Music!B303&amp;"},")</f>
        <v/>
      </c>
    </row>
    <row r="304" spans="1:1" x14ac:dyDescent="0.25">
      <c r="A304" t="str">
        <f>IF(OR(TRIM(Music!A304)="", TRIM(Music!B304)=""),"","{ freq="&amp;Music!A304&amp;", duration="&amp;Music!B304&amp;"},")</f>
        <v/>
      </c>
    </row>
    <row r="305" spans="1:1" x14ac:dyDescent="0.25">
      <c r="A305" t="str">
        <f>IF(OR(TRIM(Music!A305)="", TRIM(Music!B305)=""),"","{ freq="&amp;Music!A305&amp;", duration="&amp;Music!B305&amp;"},")</f>
        <v/>
      </c>
    </row>
    <row r="306" spans="1:1" x14ac:dyDescent="0.25">
      <c r="A306" t="str">
        <f>IF(OR(TRIM(Music!A306)="", TRIM(Music!B306)=""),"","{ freq="&amp;Music!A306&amp;", duration="&amp;Music!B306&amp;"},")</f>
        <v/>
      </c>
    </row>
    <row r="307" spans="1:1" x14ac:dyDescent="0.25">
      <c r="A307" t="str">
        <f>IF(OR(TRIM(Music!A307)="", TRIM(Music!B307)=""),"","{ freq="&amp;Music!A307&amp;", duration="&amp;Music!B307&amp;"},")</f>
        <v/>
      </c>
    </row>
    <row r="308" spans="1:1" x14ac:dyDescent="0.25">
      <c r="A308" t="str">
        <f>IF(OR(TRIM(Music!A308)="", TRIM(Music!B308)=""),"","{ freq="&amp;Music!A308&amp;", duration="&amp;Music!B308&amp;"},")</f>
        <v/>
      </c>
    </row>
    <row r="309" spans="1:1" x14ac:dyDescent="0.25">
      <c r="A309" t="str">
        <f>IF(OR(TRIM(Music!A309)="", TRIM(Music!B309)=""),"","{ freq="&amp;Music!A309&amp;", duration="&amp;Music!B309&amp;"},")</f>
        <v/>
      </c>
    </row>
    <row r="310" spans="1:1" x14ac:dyDescent="0.25">
      <c r="A310" t="str">
        <f>IF(OR(TRIM(Music!A310)="", TRIM(Music!B310)=""),"","{ freq="&amp;Music!A310&amp;", duration="&amp;Music!B310&amp;"},")</f>
        <v/>
      </c>
    </row>
    <row r="311" spans="1:1" x14ac:dyDescent="0.25">
      <c r="A311" t="str">
        <f>IF(OR(TRIM(Music!A311)="", TRIM(Music!B311)=""),"","{ freq="&amp;Music!A311&amp;", duration="&amp;Music!B311&amp;"},")</f>
        <v/>
      </c>
    </row>
    <row r="312" spans="1:1" x14ac:dyDescent="0.25">
      <c r="A312" t="str">
        <f>IF(OR(TRIM(Music!A312)="", TRIM(Music!B312)=""),"","{ freq="&amp;Music!A312&amp;", duration="&amp;Music!B312&amp;"},")</f>
        <v/>
      </c>
    </row>
    <row r="313" spans="1:1" x14ac:dyDescent="0.25">
      <c r="A313" t="str">
        <f>IF(OR(TRIM(Music!A313)="", TRIM(Music!B313)=""),"","{ freq="&amp;Music!A313&amp;", duration="&amp;Music!B313&amp;"},")</f>
        <v/>
      </c>
    </row>
    <row r="314" spans="1:1" x14ac:dyDescent="0.25">
      <c r="A314" t="str">
        <f>IF(OR(TRIM(Music!A314)="", TRIM(Music!B314)=""),"","{ freq="&amp;Music!A314&amp;", duration="&amp;Music!B314&amp;"},")</f>
        <v/>
      </c>
    </row>
    <row r="315" spans="1:1" x14ac:dyDescent="0.25">
      <c r="A315" t="str">
        <f>IF(OR(TRIM(Music!A315)="", TRIM(Music!B315)=""),"","{ freq="&amp;Music!A315&amp;", duration="&amp;Music!B315&amp;"},")</f>
        <v/>
      </c>
    </row>
    <row r="316" spans="1:1" x14ac:dyDescent="0.25">
      <c r="A316" t="str">
        <f>IF(OR(TRIM(Music!A316)="", TRIM(Music!B316)=""),"","{ freq="&amp;Music!A316&amp;", duration="&amp;Music!B316&amp;"},")</f>
        <v/>
      </c>
    </row>
    <row r="317" spans="1:1" x14ac:dyDescent="0.25">
      <c r="A317" t="str">
        <f>IF(OR(TRIM(Music!A317)="", TRIM(Music!B317)=""),"","{ freq="&amp;Music!A317&amp;", duration="&amp;Music!B317&amp;"},")</f>
        <v/>
      </c>
    </row>
    <row r="318" spans="1:1" x14ac:dyDescent="0.25">
      <c r="A318" t="str">
        <f>IF(OR(TRIM(Music!A318)="", TRIM(Music!B318)=""),"","{ freq="&amp;Music!A318&amp;", duration="&amp;Music!B318&amp;"},")</f>
        <v/>
      </c>
    </row>
    <row r="319" spans="1:1" x14ac:dyDescent="0.25">
      <c r="A319" t="str">
        <f>IF(OR(TRIM(Music!A319)="", TRIM(Music!B319)=""),"","{ freq="&amp;Music!A319&amp;", duration="&amp;Music!B319&amp;"},")</f>
        <v/>
      </c>
    </row>
    <row r="320" spans="1:1" x14ac:dyDescent="0.25">
      <c r="A320" t="str">
        <f>IF(OR(TRIM(Music!A320)="", TRIM(Music!B320)=""),"","{ freq="&amp;Music!A320&amp;", duration="&amp;Music!B320&amp;"},")</f>
        <v/>
      </c>
    </row>
    <row r="321" spans="1:1" x14ac:dyDescent="0.25">
      <c r="A321" t="str">
        <f>IF(OR(TRIM(Music!A321)="", TRIM(Music!B321)=""),"","{ freq="&amp;Music!A321&amp;", duration="&amp;Music!B321&amp;"},")</f>
        <v/>
      </c>
    </row>
    <row r="322" spans="1:1" x14ac:dyDescent="0.25">
      <c r="A322" t="str">
        <f>IF(OR(TRIM(Music!A322)="", TRIM(Music!B322)=""),"","{ freq="&amp;Music!A322&amp;", duration="&amp;Music!B322&amp;"},")</f>
        <v/>
      </c>
    </row>
    <row r="323" spans="1:1" x14ac:dyDescent="0.25">
      <c r="A323" t="str">
        <f>IF(OR(TRIM(Music!A323)="", TRIM(Music!B323)=""),"","{ freq="&amp;Music!A323&amp;", duration="&amp;Music!B323&amp;"},")</f>
        <v/>
      </c>
    </row>
    <row r="324" spans="1:1" x14ac:dyDescent="0.25">
      <c r="A324" t="str">
        <f>IF(OR(TRIM(Music!A324)="", TRIM(Music!B324)=""),"","{ freq="&amp;Music!A324&amp;", duration="&amp;Music!B324&amp;"},")</f>
        <v/>
      </c>
    </row>
    <row r="325" spans="1:1" x14ac:dyDescent="0.25">
      <c r="A325" t="str">
        <f>IF(OR(TRIM(Music!A325)="", TRIM(Music!B325)=""),"","{ freq="&amp;Music!A325&amp;", duration="&amp;Music!B325&amp;"},")</f>
        <v/>
      </c>
    </row>
    <row r="326" spans="1:1" x14ac:dyDescent="0.25">
      <c r="A326" t="str">
        <f>IF(OR(TRIM(Music!A326)="", TRIM(Music!B326)=""),"","{ freq="&amp;Music!A326&amp;", duration="&amp;Music!B326&amp;"},")</f>
        <v/>
      </c>
    </row>
    <row r="327" spans="1:1" x14ac:dyDescent="0.25">
      <c r="A327" t="str">
        <f>IF(OR(TRIM(Music!A327)="", TRIM(Music!B327)=""),"","{ freq="&amp;Music!A327&amp;", duration="&amp;Music!B327&amp;"},")</f>
        <v/>
      </c>
    </row>
    <row r="328" spans="1:1" x14ac:dyDescent="0.25">
      <c r="A328" t="str">
        <f>IF(OR(TRIM(Music!A328)="", TRIM(Music!B328)=""),"","{ freq="&amp;Music!A328&amp;", duration="&amp;Music!B328&amp;"},")</f>
        <v/>
      </c>
    </row>
    <row r="329" spans="1:1" x14ac:dyDescent="0.25">
      <c r="A329" t="str">
        <f>IF(OR(TRIM(Music!A329)="", TRIM(Music!B329)=""),"","{ freq="&amp;Music!A329&amp;", duration="&amp;Music!B329&amp;"},")</f>
        <v/>
      </c>
    </row>
    <row r="330" spans="1:1" x14ac:dyDescent="0.25">
      <c r="A330" t="str">
        <f>IF(OR(TRIM(Music!A330)="", TRIM(Music!B330)=""),"","{ freq="&amp;Music!A330&amp;", duration="&amp;Music!B330&amp;"},")</f>
        <v/>
      </c>
    </row>
    <row r="331" spans="1:1" x14ac:dyDescent="0.25">
      <c r="A331" t="str">
        <f>IF(OR(TRIM(Music!A331)="", TRIM(Music!B331)=""),"","{ freq="&amp;Music!A331&amp;", duration="&amp;Music!B331&amp;"},")</f>
        <v/>
      </c>
    </row>
    <row r="332" spans="1:1" x14ac:dyDescent="0.25">
      <c r="A332" t="str">
        <f>IF(OR(TRIM(Music!A332)="", TRIM(Music!B332)=""),"","{ freq="&amp;Music!A332&amp;", duration="&amp;Music!B332&amp;"},")</f>
        <v/>
      </c>
    </row>
    <row r="333" spans="1:1" x14ac:dyDescent="0.25">
      <c r="A333" t="str">
        <f>IF(OR(TRIM(Music!A333)="", TRIM(Music!B333)=""),"","{ freq="&amp;Music!A333&amp;", duration="&amp;Music!B333&amp;"},")</f>
        <v/>
      </c>
    </row>
    <row r="334" spans="1:1" x14ac:dyDescent="0.25">
      <c r="A334" t="str">
        <f>IF(OR(TRIM(Music!A334)="", TRIM(Music!B334)=""),"","{ freq="&amp;Music!A334&amp;", duration="&amp;Music!B334&amp;"},")</f>
        <v/>
      </c>
    </row>
    <row r="335" spans="1:1" x14ac:dyDescent="0.25">
      <c r="A335" t="str">
        <f>IF(OR(TRIM(Music!A335)="", TRIM(Music!B335)=""),"","{ freq="&amp;Music!A335&amp;", duration="&amp;Music!B335&amp;"},")</f>
        <v/>
      </c>
    </row>
    <row r="336" spans="1:1" x14ac:dyDescent="0.25">
      <c r="A336" t="str">
        <f>IF(OR(TRIM(Music!A336)="", TRIM(Music!B336)=""),"","{ freq="&amp;Music!A336&amp;", duration="&amp;Music!B336&amp;"},")</f>
        <v/>
      </c>
    </row>
    <row r="337" spans="1:1" x14ac:dyDescent="0.25">
      <c r="A337" t="str">
        <f>IF(OR(TRIM(Music!A337)="", TRIM(Music!B337)=""),"","{ freq="&amp;Music!A337&amp;", duration="&amp;Music!B337&amp;"},")</f>
        <v/>
      </c>
    </row>
    <row r="338" spans="1:1" x14ac:dyDescent="0.25">
      <c r="A338" t="str">
        <f>IF(OR(TRIM(Music!A338)="", TRIM(Music!B338)=""),"","{ freq="&amp;Music!A338&amp;", duration="&amp;Music!B338&amp;"},")</f>
        <v/>
      </c>
    </row>
    <row r="339" spans="1:1" x14ac:dyDescent="0.25">
      <c r="A339" t="str">
        <f>IF(OR(TRIM(Music!A339)="", TRIM(Music!B339)=""),"","{ freq="&amp;Music!A339&amp;", duration="&amp;Music!B339&amp;"},")</f>
        <v/>
      </c>
    </row>
    <row r="340" spans="1:1" x14ac:dyDescent="0.25">
      <c r="A340" t="str">
        <f>IF(OR(TRIM(Music!A340)="", TRIM(Music!B340)=""),"","{ freq="&amp;Music!A340&amp;", duration="&amp;Music!B340&amp;"},")</f>
        <v/>
      </c>
    </row>
    <row r="341" spans="1:1" x14ac:dyDescent="0.25">
      <c r="A341" t="str">
        <f>IF(OR(TRIM(Music!A341)="", TRIM(Music!B341)=""),"","{ freq="&amp;Music!A341&amp;", duration="&amp;Music!B341&amp;"},")</f>
        <v/>
      </c>
    </row>
    <row r="342" spans="1:1" x14ac:dyDescent="0.25">
      <c r="A342" t="str">
        <f>IF(OR(TRIM(Music!A342)="", TRIM(Music!B342)=""),"","{ freq="&amp;Music!A342&amp;", duration="&amp;Music!B342&amp;"},")</f>
        <v/>
      </c>
    </row>
    <row r="343" spans="1:1" x14ac:dyDescent="0.25">
      <c r="A343" t="str">
        <f>IF(OR(TRIM(Music!A343)="", TRIM(Music!B343)=""),"","{ freq="&amp;Music!A343&amp;", duration="&amp;Music!B343&amp;"},")</f>
        <v/>
      </c>
    </row>
    <row r="344" spans="1:1" x14ac:dyDescent="0.25">
      <c r="A344" t="str">
        <f>IF(OR(TRIM(Music!A344)="", TRIM(Music!B344)=""),"","{ freq="&amp;Music!A344&amp;", duration="&amp;Music!B344&amp;"},")</f>
        <v/>
      </c>
    </row>
    <row r="345" spans="1:1" x14ac:dyDescent="0.25">
      <c r="A345" t="str">
        <f>IF(OR(TRIM(Music!A345)="", TRIM(Music!B345)=""),"","{ freq="&amp;Music!A345&amp;", duration="&amp;Music!B345&amp;"},")</f>
        <v/>
      </c>
    </row>
    <row r="346" spans="1:1" x14ac:dyDescent="0.25">
      <c r="A346" t="str">
        <f>IF(OR(TRIM(Music!A346)="", TRIM(Music!B346)=""),"","{ freq="&amp;Music!A346&amp;", duration="&amp;Music!B346&amp;"},")</f>
        <v/>
      </c>
    </row>
    <row r="347" spans="1:1" x14ac:dyDescent="0.25">
      <c r="A347" t="str">
        <f>IF(OR(TRIM(Music!A347)="", TRIM(Music!B347)=""),"","{ freq="&amp;Music!A347&amp;", duration="&amp;Music!B347&amp;"},")</f>
        <v/>
      </c>
    </row>
    <row r="348" spans="1:1" x14ac:dyDescent="0.25">
      <c r="A348" t="str">
        <f>IF(OR(TRIM(Music!A348)="", TRIM(Music!B348)=""),"","{ freq="&amp;Music!A348&amp;", duration="&amp;Music!B348&amp;"},")</f>
        <v/>
      </c>
    </row>
    <row r="349" spans="1:1" x14ac:dyDescent="0.25">
      <c r="A349" t="str">
        <f>IF(OR(TRIM(Music!A349)="", TRIM(Music!B349)=""),"","{ freq="&amp;Music!A349&amp;", duration="&amp;Music!B349&amp;"},")</f>
        <v/>
      </c>
    </row>
    <row r="350" spans="1:1" x14ac:dyDescent="0.25">
      <c r="A350" t="str">
        <f>IF(OR(TRIM(Music!A350)="", TRIM(Music!B350)=""),"","{ freq="&amp;Music!A350&amp;", duration="&amp;Music!B350&amp;"},")</f>
        <v/>
      </c>
    </row>
    <row r="351" spans="1:1" x14ac:dyDescent="0.25">
      <c r="A351" t="str">
        <f>IF(OR(TRIM(Music!A351)="", TRIM(Music!B351)=""),"","{ freq="&amp;Music!A351&amp;", duration="&amp;Music!B351&amp;"},")</f>
        <v/>
      </c>
    </row>
    <row r="352" spans="1:1" x14ac:dyDescent="0.25">
      <c r="A352" t="str">
        <f>IF(OR(TRIM(Music!A352)="", TRIM(Music!B352)=""),"","{ freq="&amp;Music!A352&amp;", duration="&amp;Music!B352&amp;"},")</f>
        <v/>
      </c>
    </row>
    <row r="353" spans="1:1" x14ac:dyDescent="0.25">
      <c r="A353" t="str">
        <f>IF(OR(TRIM(Music!A353)="", TRIM(Music!B353)=""),"","{ freq="&amp;Music!A353&amp;", duration="&amp;Music!B353&amp;"},")</f>
        <v/>
      </c>
    </row>
    <row r="354" spans="1:1" x14ac:dyDescent="0.25">
      <c r="A354" t="str">
        <f>IF(OR(TRIM(Music!A354)="", TRIM(Music!B354)=""),"","{ freq="&amp;Music!A354&amp;", duration="&amp;Music!B354&amp;"},")</f>
        <v/>
      </c>
    </row>
    <row r="355" spans="1:1" x14ac:dyDescent="0.25">
      <c r="A355" t="str">
        <f>IF(OR(TRIM(Music!A355)="", TRIM(Music!B355)=""),"","{ freq="&amp;Music!A355&amp;", duration="&amp;Music!B355&amp;"},")</f>
        <v/>
      </c>
    </row>
    <row r="356" spans="1:1" x14ac:dyDescent="0.25">
      <c r="A356" t="str">
        <f>IF(OR(TRIM(Music!A356)="", TRIM(Music!B356)=""),"","{ freq="&amp;Music!A356&amp;", duration="&amp;Music!B356&amp;"},")</f>
        <v/>
      </c>
    </row>
    <row r="357" spans="1:1" x14ac:dyDescent="0.25">
      <c r="A357" t="str">
        <f>IF(OR(TRIM(Music!A357)="", TRIM(Music!B357)=""),"","{ freq="&amp;Music!A357&amp;", duration="&amp;Music!B357&amp;"},")</f>
        <v/>
      </c>
    </row>
    <row r="358" spans="1:1" x14ac:dyDescent="0.25">
      <c r="A358" t="str">
        <f>IF(OR(TRIM(Music!A358)="", TRIM(Music!B358)=""),"","{ freq="&amp;Music!A358&amp;", duration="&amp;Music!B358&amp;"},")</f>
        <v/>
      </c>
    </row>
    <row r="359" spans="1:1" x14ac:dyDescent="0.25">
      <c r="A359" t="str">
        <f>IF(OR(TRIM(Music!A359)="", TRIM(Music!B359)=""),"","{ freq="&amp;Music!A359&amp;", duration="&amp;Music!B359&amp;"},")</f>
        <v/>
      </c>
    </row>
    <row r="360" spans="1:1" x14ac:dyDescent="0.25">
      <c r="A360" t="str">
        <f>IF(OR(TRIM(Music!A360)="", TRIM(Music!B360)=""),"","{ freq="&amp;Music!A360&amp;", duration="&amp;Music!B360&amp;"},")</f>
        <v/>
      </c>
    </row>
    <row r="361" spans="1:1" x14ac:dyDescent="0.25">
      <c r="A361" t="str">
        <f>IF(OR(TRIM(Music!A361)="", TRIM(Music!B361)=""),"","{ freq="&amp;Music!A361&amp;", duration="&amp;Music!B361&amp;"},")</f>
        <v/>
      </c>
    </row>
    <row r="362" spans="1:1" x14ac:dyDescent="0.25">
      <c r="A362" t="str">
        <f>IF(OR(TRIM(Music!A362)="", TRIM(Music!B362)=""),"","{ freq="&amp;Music!A362&amp;", duration="&amp;Music!B362&amp;"},")</f>
        <v/>
      </c>
    </row>
    <row r="363" spans="1:1" x14ac:dyDescent="0.25">
      <c r="A363" t="str">
        <f>IF(OR(TRIM(Music!A363)="", TRIM(Music!B363)=""),"","{ freq="&amp;Music!A363&amp;", duration="&amp;Music!B363&amp;"},")</f>
        <v/>
      </c>
    </row>
    <row r="364" spans="1:1" x14ac:dyDescent="0.25">
      <c r="A364" t="str">
        <f>IF(OR(TRIM(Music!A364)="", TRIM(Music!B364)=""),"","{ freq="&amp;Music!A364&amp;", duration="&amp;Music!B364&amp;"},")</f>
        <v/>
      </c>
    </row>
    <row r="365" spans="1:1" x14ac:dyDescent="0.25">
      <c r="A365" t="str">
        <f>IF(OR(TRIM(Music!A365)="", TRIM(Music!B365)=""),"","{ freq="&amp;Music!A365&amp;", duration="&amp;Music!B365&amp;"},")</f>
        <v/>
      </c>
    </row>
    <row r="366" spans="1:1" x14ac:dyDescent="0.25">
      <c r="A366" t="str">
        <f>IF(OR(TRIM(Music!A366)="", TRIM(Music!B366)=""),"","{ freq="&amp;Music!A366&amp;", duration="&amp;Music!B366&amp;"},")</f>
        <v/>
      </c>
    </row>
    <row r="367" spans="1:1" x14ac:dyDescent="0.25">
      <c r="A367" t="str">
        <f>IF(OR(TRIM(Music!A367)="", TRIM(Music!B367)=""),"","{ freq="&amp;Music!A367&amp;", duration="&amp;Music!B367&amp;"},")</f>
        <v/>
      </c>
    </row>
    <row r="368" spans="1:1" x14ac:dyDescent="0.25">
      <c r="A368" t="str">
        <f>IF(OR(TRIM(Music!A368)="", TRIM(Music!B368)=""),"","{ freq="&amp;Music!A368&amp;", duration="&amp;Music!B368&amp;"},")</f>
        <v/>
      </c>
    </row>
    <row r="369" spans="1:1" x14ac:dyDescent="0.25">
      <c r="A369" t="str">
        <f>IF(OR(TRIM(Music!A369)="", TRIM(Music!B369)=""),"","{ freq="&amp;Music!A369&amp;", duration="&amp;Music!B369&amp;"},")</f>
        <v/>
      </c>
    </row>
    <row r="370" spans="1:1" x14ac:dyDescent="0.25">
      <c r="A370" t="str">
        <f>IF(OR(TRIM(Music!A370)="", TRIM(Music!B370)=""),"","{ freq="&amp;Music!A370&amp;", duration="&amp;Music!B370&amp;"},")</f>
        <v/>
      </c>
    </row>
    <row r="371" spans="1:1" x14ac:dyDescent="0.25">
      <c r="A371" t="str">
        <f>IF(OR(TRIM(Music!A371)="", TRIM(Music!B371)=""),"","{ freq="&amp;Music!A371&amp;", duration="&amp;Music!B371&amp;"},")</f>
        <v/>
      </c>
    </row>
    <row r="372" spans="1:1" x14ac:dyDescent="0.25">
      <c r="A372" t="str">
        <f>IF(OR(TRIM(Music!A372)="", TRIM(Music!B372)=""),"","{ freq="&amp;Music!A372&amp;", duration="&amp;Music!B372&amp;"},")</f>
        <v/>
      </c>
    </row>
    <row r="373" spans="1:1" x14ac:dyDescent="0.25">
      <c r="A373" t="str">
        <f>IF(OR(TRIM(Music!A373)="", TRIM(Music!B373)=""),"","{ freq="&amp;Music!A373&amp;", duration="&amp;Music!B373&amp;"},")</f>
        <v/>
      </c>
    </row>
    <row r="374" spans="1:1" x14ac:dyDescent="0.25">
      <c r="A374" t="str">
        <f>IF(OR(TRIM(Music!A374)="", TRIM(Music!B374)=""),"","{ freq="&amp;Music!A374&amp;", duration="&amp;Music!B374&amp;"},")</f>
        <v/>
      </c>
    </row>
    <row r="375" spans="1:1" x14ac:dyDescent="0.25">
      <c r="A375" t="str">
        <f>IF(OR(TRIM(Music!A375)="", TRIM(Music!B375)=""),"","{ freq="&amp;Music!A375&amp;", duration="&amp;Music!B375&amp;"},")</f>
        <v/>
      </c>
    </row>
    <row r="376" spans="1:1" x14ac:dyDescent="0.25">
      <c r="A376" t="str">
        <f>IF(OR(TRIM(Music!A376)="", TRIM(Music!B376)=""),"","{ freq="&amp;Music!A376&amp;", duration="&amp;Music!B376&amp;"},")</f>
        <v/>
      </c>
    </row>
    <row r="377" spans="1:1" x14ac:dyDescent="0.25">
      <c r="A377" t="str">
        <f>IF(OR(TRIM(Music!A377)="", TRIM(Music!B377)=""),"","{ freq="&amp;Music!A377&amp;", duration="&amp;Music!B377&amp;"},")</f>
        <v/>
      </c>
    </row>
    <row r="378" spans="1:1" x14ac:dyDescent="0.25">
      <c r="A378" t="str">
        <f>IF(OR(TRIM(Music!A378)="", TRIM(Music!B378)=""),"","{ freq="&amp;Music!A378&amp;", duration="&amp;Music!B378&amp;"},")</f>
        <v/>
      </c>
    </row>
    <row r="379" spans="1:1" x14ac:dyDescent="0.25">
      <c r="A379" t="str">
        <f>IF(OR(TRIM(Music!A379)="", TRIM(Music!B379)=""),"","{ freq="&amp;Music!A379&amp;", duration="&amp;Music!B379&amp;"},")</f>
        <v/>
      </c>
    </row>
    <row r="380" spans="1:1" x14ac:dyDescent="0.25">
      <c r="A380" t="str">
        <f>IF(OR(TRIM(Music!A380)="", TRIM(Music!B380)=""),"","{ freq="&amp;Music!A380&amp;", duration="&amp;Music!B380&amp;"},")</f>
        <v/>
      </c>
    </row>
    <row r="381" spans="1:1" x14ac:dyDescent="0.25">
      <c r="A381" t="str">
        <f>IF(OR(TRIM(Music!A381)="", TRIM(Music!B381)=""),"","{ freq="&amp;Music!A381&amp;", duration="&amp;Music!B381&amp;"},")</f>
        <v/>
      </c>
    </row>
    <row r="382" spans="1:1" x14ac:dyDescent="0.25">
      <c r="A382" t="str">
        <f>IF(OR(TRIM(Music!A382)="", TRIM(Music!B382)=""),"","{ freq="&amp;Music!A382&amp;", duration="&amp;Music!B382&amp;"},")</f>
        <v/>
      </c>
    </row>
    <row r="383" spans="1:1" x14ac:dyDescent="0.25">
      <c r="A383" t="str">
        <f>IF(OR(TRIM(Music!A383)="", TRIM(Music!B383)=""),"","{ freq="&amp;Music!A383&amp;", duration="&amp;Music!B383&amp;"},")</f>
        <v/>
      </c>
    </row>
    <row r="384" spans="1:1" x14ac:dyDescent="0.25">
      <c r="A384" t="str">
        <f>IF(OR(TRIM(Music!A384)="", TRIM(Music!B384)=""),"","{ freq="&amp;Music!A384&amp;", duration="&amp;Music!B384&amp;"},")</f>
        <v/>
      </c>
    </row>
    <row r="385" spans="1:1" x14ac:dyDescent="0.25">
      <c r="A385" t="str">
        <f>IF(OR(TRIM(Music!A385)="", TRIM(Music!B385)=""),"","{ freq="&amp;Music!A385&amp;", duration="&amp;Music!B385&amp;"},")</f>
        <v/>
      </c>
    </row>
    <row r="386" spans="1:1" x14ac:dyDescent="0.25">
      <c r="A386" t="str">
        <f>IF(OR(TRIM(Music!A386)="", TRIM(Music!B386)=""),"","{ freq="&amp;Music!A386&amp;", duration="&amp;Music!B386&amp;"},")</f>
        <v/>
      </c>
    </row>
    <row r="387" spans="1:1" x14ac:dyDescent="0.25">
      <c r="A387" t="str">
        <f>IF(OR(TRIM(Music!A387)="", TRIM(Music!B387)=""),"","{ freq="&amp;Music!A387&amp;", duration="&amp;Music!B387&amp;"},")</f>
        <v/>
      </c>
    </row>
    <row r="388" spans="1:1" x14ac:dyDescent="0.25">
      <c r="A388" t="str">
        <f>IF(OR(TRIM(Music!A388)="", TRIM(Music!B388)=""),"","{ freq="&amp;Music!A388&amp;", duration="&amp;Music!B388&amp;"},")</f>
        <v/>
      </c>
    </row>
    <row r="389" spans="1:1" x14ac:dyDescent="0.25">
      <c r="A389" t="str">
        <f>IF(OR(TRIM(Music!A389)="", TRIM(Music!B389)=""),"","{ freq="&amp;Music!A389&amp;", duration="&amp;Music!B389&amp;"},")</f>
        <v/>
      </c>
    </row>
    <row r="390" spans="1:1" x14ac:dyDescent="0.25">
      <c r="A390" t="str">
        <f>IF(OR(TRIM(Music!A390)="", TRIM(Music!B390)=""),"","{ freq="&amp;Music!A390&amp;", duration="&amp;Music!B390&amp;"},")</f>
        <v/>
      </c>
    </row>
    <row r="391" spans="1:1" x14ac:dyDescent="0.25">
      <c r="A391" t="str">
        <f>IF(OR(TRIM(Music!A391)="", TRIM(Music!B391)=""),"","{ freq="&amp;Music!A391&amp;", duration="&amp;Music!B391&amp;"},")</f>
        <v/>
      </c>
    </row>
    <row r="392" spans="1:1" x14ac:dyDescent="0.25">
      <c r="A392" t="str">
        <f>IF(OR(TRIM(Music!A392)="", TRIM(Music!B392)=""),"","{ freq="&amp;Music!A392&amp;", duration="&amp;Music!B392&amp;"},")</f>
        <v/>
      </c>
    </row>
    <row r="393" spans="1:1" x14ac:dyDescent="0.25">
      <c r="A393" t="str">
        <f>IF(OR(TRIM(Music!A393)="", TRIM(Music!B393)=""),"","{ freq="&amp;Music!A393&amp;", duration="&amp;Music!B393&amp;"},")</f>
        <v/>
      </c>
    </row>
    <row r="394" spans="1:1" x14ac:dyDescent="0.25">
      <c r="A394" t="str">
        <f>IF(OR(TRIM(Music!A394)="", TRIM(Music!B394)=""),"","{ freq="&amp;Music!A394&amp;", duration="&amp;Music!B394&amp;"},")</f>
        <v/>
      </c>
    </row>
    <row r="395" spans="1:1" x14ac:dyDescent="0.25">
      <c r="A395" t="str">
        <f>IF(OR(TRIM(Music!A395)="", TRIM(Music!B395)=""),"","{ freq="&amp;Music!A395&amp;", duration="&amp;Music!B395&amp;"},")</f>
        <v/>
      </c>
    </row>
    <row r="396" spans="1:1" x14ac:dyDescent="0.25">
      <c r="A396" t="str">
        <f>IF(OR(TRIM(Music!A396)="", TRIM(Music!B396)=""),"","{ freq="&amp;Music!A396&amp;", duration="&amp;Music!B396&amp;"},")</f>
        <v/>
      </c>
    </row>
    <row r="397" spans="1:1" x14ac:dyDescent="0.25">
      <c r="A397" t="str">
        <f>IF(OR(TRIM(Music!A397)="", TRIM(Music!B397)=""),"","{ freq="&amp;Music!A397&amp;", duration="&amp;Music!B397&amp;"},")</f>
        <v/>
      </c>
    </row>
    <row r="398" spans="1:1" x14ac:dyDescent="0.25">
      <c r="A398" t="str">
        <f>IF(OR(TRIM(Music!A398)="", TRIM(Music!B398)=""),"","{ freq="&amp;Music!A398&amp;", duration="&amp;Music!B398&amp;"},")</f>
        <v/>
      </c>
    </row>
    <row r="399" spans="1:1" x14ac:dyDescent="0.25">
      <c r="A399" t="str">
        <f>IF(OR(TRIM(Music!A399)="", TRIM(Music!B399)=""),"","{ freq="&amp;Music!A399&amp;", duration="&amp;Music!B399&amp;"},")</f>
        <v/>
      </c>
    </row>
    <row r="400" spans="1:1" x14ac:dyDescent="0.25">
      <c r="A400" t="str">
        <f>IF(OR(TRIM(Music!A400)="", TRIM(Music!B400)=""),"","{ freq="&amp;Music!A400&amp;", duration="&amp;Music!B400&amp;"},")</f>
        <v/>
      </c>
    </row>
    <row r="401" spans="1:1" x14ac:dyDescent="0.25">
      <c r="A401" t="str">
        <f>IF(OR(TRIM(Music!A401)="", TRIM(Music!B401)=""),"","{ freq="&amp;Music!A401&amp;", duration="&amp;Music!B401&amp;"},")</f>
        <v/>
      </c>
    </row>
    <row r="402" spans="1:1" x14ac:dyDescent="0.25">
      <c r="A402" t="str">
        <f>IF(OR(TRIM(Music!A402)="", TRIM(Music!B402)=""),"","{ freq="&amp;Music!A402&amp;", duration="&amp;Music!B402&amp;"},")</f>
        <v/>
      </c>
    </row>
    <row r="403" spans="1:1" x14ac:dyDescent="0.25">
      <c r="A403" t="str">
        <f>IF(OR(TRIM(Music!A403)="", TRIM(Music!B403)=""),"","{ freq="&amp;Music!A403&amp;", duration="&amp;Music!B403&amp;"},")</f>
        <v/>
      </c>
    </row>
    <row r="404" spans="1:1" x14ac:dyDescent="0.25">
      <c r="A404" t="str">
        <f>IF(OR(TRIM(Music!A404)="", TRIM(Music!B404)=""),"","{ freq="&amp;Music!A404&amp;", duration="&amp;Music!B404&amp;"},")</f>
        <v/>
      </c>
    </row>
    <row r="405" spans="1:1" x14ac:dyDescent="0.25">
      <c r="A405" t="str">
        <f>IF(OR(TRIM(Music!A405)="", TRIM(Music!B405)=""),"","{ freq="&amp;Music!A405&amp;", duration="&amp;Music!B405&amp;"},")</f>
        <v/>
      </c>
    </row>
    <row r="406" spans="1:1" x14ac:dyDescent="0.25">
      <c r="A406" t="str">
        <f>IF(OR(TRIM(Music!A406)="", TRIM(Music!B406)=""),"","{ freq="&amp;Music!A406&amp;", duration="&amp;Music!B406&amp;"},")</f>
        <v/>
      </c>
    </row>
    <row r="407" spans="1:1" x14ac:dyDescent="0.25">
      <c r="A407" t="str">
        <f>IF(OR(TRIM(Music!A407)="", TRIM(Music!B407)=""),"","{ freq="&amp;Music!A407&amp;", duration="&amp;Music!B407&amp;"},")</f>
        <v/>
      </c>
    </row>
    <row r="408" spans="1:1" x14ac:dyDescent="0.25">
      <c r="A408" t="str">
        <f>IF(OR(TRIM(Music!A408)="", TRIM(Music!B408)=""),"","{ freq="&amp;Music!A408&amp;", duration="&amp;Music!B408&amp;"},")</f>
        <v/>
      </c>
    </row>
    <row r="409" spans="1:1" x14ac:dyDescent="0.25">
      <c r="A409" t="str">
        <f>IF(OR(TRIM(Music!A409)="", TRIM(Music!B409)=""),"","{ freq="&amp;Music!A409&amp;", duration="&amp;Music!B409&amp;"},")</f>
        <v/>
      </c>
    </row>
    <row r="410" spans="1:1" x14ac:dyDescent="0.25">
      <c r="A410" t="str">
        <f>IF(OR(TRIM(Music!A410)="", TRIM(Music!B410)=""),"","{ freq="&amp;Music!A410&amp;", duration="&amp;Music!B410&amp;"},")</f>
        <v/>
      </c>
    </row>
    <row r="411" spans="1:1" x14ac:dyDescent="0.25">
      <c r="A411" t="str">
        <f>IF(OR(TRIM(Music!A411)="", TRIM(Music!B411)=""),"","{ freq="&amp;Music!A411&amp;", duration="&amp;Music!B411&amp;"},")</f>
        <v/>
      </c>
    </row>
    <row r="412" spans="1:1" x14ac:dyDescent="0.25">
      <c r="A412" t="str">
        <f>IF(OR(TRIM(Music!A412)="", TRIM(Music!B412)=""),"","{ freq="&amp;Music!A412&amp;", duration="&amp;Music!B412&amp;"},")</f>
        <v/>
      </c>
    </row>
    <row r="413" spans="1:1" x14ac:dyDescent="0.25">
      <c r="A413" t="str">
        <f>IF(OR(TRIM(Music!A413)="", TRIM(Music!B413)=""),"","{ freq="&amp;Music!A413&amp;", duration="&amp;Music!B413&amp;"},")</f>
        <v/>
      </c>
    </row>
    <row r="414" spans="1:1" x14ac:dyDescent="0.25">
      <c r="A414" t="str">
        <f>IF(OR(TRIM(Music!A414)="", TRIM(Music!B414)=""),"","{ freq="&amp;Music!A414&amp;", duration="&amp;Music!B414&amp;"},")</f>
        <v/>
      </c>
    </row>
    <row r="415" spans="1:1" x14ac:dyDescent="0.25">
      <c r="A415" t="str">
        <f>IF(OR(TRIM(Music!A415)="", TRIM(Music!B415)=""),"","{ freq="&amp;Music!A415&amp;", duration="&amp;Music!B415&amp;"},")</f>
        <v/>
      </c>
    </row>
    <row r="416" spans="1:1" x14ac:dyDescent="0.25">
      <c r="A416" t="str">
        <f>IF(OR(TRIM(Music!A416)="", TRIM(Music!B416)=""),"","{ freq="&amp;Music!A416&amp;", duration="&amp;Music!B416&amp;"},")</f>
        <v/>
      </c>
    </row>
    <row r="417" spans="1:1" x14ac:dyDescent="0.25">
      <c r="A417" t="str">
        <f>IF(OR(TRIM(Music!A417)="", TRIM(Music!B417)=""),"","{ freq="&amp;Music!A417&amp;", duration="&amp;Music!B417&amp;"},")</f>
        <v/>
      </c>
    </row>
    <row r="418" spans="1:1" x14ac:dyDescent="0.25">
      <c r="A418" t="str">
        <f>IF(OR(TRIM(Music!A418)="", TRIM(Music!B418)=""),"","{ freq="&amp;Music!A418&amp;", duration="&amp;Music!B418&amp;"},")</f>
        <v/>
      </c>
    </row>
    <row r="419" spans="1:1" x14ac:dyDescent="0.25">
      <c r="A419" t="str">
        <f>IF(OR(TRIM(Music!A419)="", TRIM(Music!B419)=""),"","{ freq="&amp;Music!A419&amp;", duration="&amp;Music!B419&amp;"},")</f>
        <v/>
      </c>
    </row>
    <row r="420" spans="1:1" x14ac:dyDescent="0.25">
      <c r="A420" t="str">
        <f>IF(OR(TRIM(Music!A420)="", TRIM(Music!B420)=""),"","{ freq="&amp;Music!A420&amp;", duration="&amp;Music!B420&amp;"},")</f>
        <v/>
      </c>
    </row>
    <row r="421" spans="1:1" x14ac:dyDescent="0.25">
      <c r="A421" t="str">
        <f>IF(OR(TRIM(Music!A421)="", TRIM(Music!B421)=""),"","{ freq="&amp;Music!A421&amp;", duration="&amp;Music!B421&amp;"},")</f>
        <v/>
      </c>
    </row>
    <row r="422" spans="1:1" x14ac:dyDescent="0.25">
      <c r="A422" t="str">
        <f>IF(OR(TRIM(Music!A422)="", TRIM(Music!B422)=""),"","{ freq="&amp;Music!A422&amp;", duration="&amp;Music!B422&amp;"},")</f>
        <v/>
      </c>
    </row>
    <row r="423" spans="1:1" x14ac:dyDescent="0.25">
      <c r="A423" t="str">
        <f>IF(OR(TRIM(Music!A423)="", TRIM(Music!B423)=""),"","{ freq="&amp;Music!A423&amp;", duration="&amp;Music!B423&amp;"},")</f>
        <v/>
      </c>
    </row>
    <row r="424" spans="1:1" x14ac:dyDescent="0.25">
      <c r="A424" t="str">
        <f>IF(OR(TRIM(Music!A424)="", TRIM(Music!B424)=""),"","{ freq="&amp;Music!A424&amp;", duration="&amp;Music!B424&amp;"},")</f>
        <v/>
      </c>
    </row>
    <row r="425" spans="1:1" x14ac:dyDescent="0.25">
      <c r="A425" t="str">
        <f>IF(OR(TRIM(Music!A425)="", TRIM(Music!B425)=""),"","{ freq="&amp;Music!A425&amp;", duration="&amp;Music!B425&amp;"},")</f>
        <v/>
      </c>
    </row>
    <row r="426" spans="1:1" x14ac:dyDescent="0.25">
      <c r="A426" t="str">
        <f>IF(OR(TRIM(Music!A426)="", TRIM(Music!B426)=""),"","{ freq="&amp;Music!A426&amp;", duration="&amp;Music!B426&amp;"},")</f>
        <v/>
      </c>
    </row>
    <row r="427" spans="1:1" x14ac:dyDescent="0.25">
      <c r="A427" t="str">
        <f>IF(OR(TRIM(Music!A427)="", TRIM(Music!B427)=""),"","{ freq="&amp;Music!A427&amp;", duration="&amp;Music!B427&amp;"},")</f>
        <v/>
      </c>
    </row>
    <row r="428" spans="1:1" x14ac:dyDescent="0.25">
      <c r="A428" t="str">
        <f>IF(OR(TRIM(Music!A428)="", TRIM(Music!B428)=""),"","{ freq="&amp;Music!A428&amp;", duration="&amp;Music!B428&amp;"},")</f>
        <v/>
      </c>
    </row>
    <row r="429" spans="1:1" x14ac:dyDescent="0.25">
      <c r="A429" t="str">
        <f>IF(OR(TRIM(Music!A429)="", TRIM(Music!B429)=""),"","{ freq="&amp;Music!A429&amp;", duration="&amp;Music!B429&amp;"},")</f>
        <v/>
      </c>
    </row>
    <row r="430" spans="1:1" x14ac:dyDescent="0.25">
      <c r="A430" t="str">
        <f>IF(OR(TRIM(Music!A430)="", TRIM(Music!B430)=""),"","{ freq="&amp;Music!A430&amp;", duration="&amp;Music!B430&amp;"},")</f>
        <v/>
      </c>
    </row>
    <row r="431" spans="1:1" x14ac:dyDescent="0.25">
      <c r="A431" t="str">
        <f>IF(OR(TRIM(Music!A431)="", TRIM(Music!B431)=""),"","{ freq="&amp;Music!A431&amp;", duration="&amp;Music!B431&amp;"},")</f>
        <v/>
      </c>
    </row>
    <row r="432" spans="1:1" x14ac:dyDescent="0.25">
      <c r="A432" t="str">
        <f>IF(OR(TRIM(Music!A432)="", TRIM(Music!B432)=""),"","{ freq="&amp;Music!A432&amp;", duration="&amp;Music!B432&amp;"},")</f>
        <v/>
      </c>
    </row>
    <row r="433" spans="1:1" x14ac:dyDescent="0.25">
      <c r="A433" t="str">
        <f>IF(OR(TRIM(Music!A433)="", TRIM(Music!B433)=""),"","{ freq="&amp;Music!A433&amp;", duration="&amp;Music!B433&amp;"},")</f>
        <v/>
      </c>
    </row>
    <row r="434" spans="1:1" x14ac:dyDescent="0.25">
      <c r="A434" t="str">
        <f>IF(OR(TRIM(Music!A434)="", TRIM(Music!B434)=""),"","{ freq="&amp;Music!A434&amp;", duration="&amp;Music!B434&amp;"},")</f>
        <v/>
      </c>
    </row>
    <row r="435" spans="1:1" x14ac:dyDescent="0.25">
      <c r="A435" t="str">
        <f>IF(OR(TRIM(Music!A435)="", TRIM(Music!B435)=""),"","{ freq="&amp;Music!A435&amp;", duration="&amp;Music!B435&amp;"},")</f>
        <v/>
      </c>
    </row>
    <row r="436" spans="1:1" x14ac:dyDescent="0.25">
      <c r="A436" t="str">
        <f>IF(OR(TRIM(Music!A436)="", TRIM(Music!B436)=""),"","{ freq="&amp;Music!A436&amp;", duration="&amp;Music!B436&amp;"},")</f>
        <v/>
      </c>
    </row>
    <row r="437" spans="1:1" x14ac:dyDescent="0.25">
      <c r="A437" t="str">
        <f>IF(OR(TRIM(Music!A437)="", TRIM(Music!B437)=""),"","{ freq="&amp;Music!A437&amp;", duration="&amp;Music!B437&amp;"},")</f>
        <v/>
      </c>
    </row>
    <row r="438" spans="1:1" x14ac:dyDescent="0.25">
      <c r="A438" t="str">
        <f>IF(OR(TRIM(Music!A438)="", TRIM(Music!B438)=""),"","{ freq="&amp;Music!A438&amp;", duration="&amp;Music!B438&amp;"},")</f>
        <v/>
      </c>
    </row>
    <row r="439" spans="1:1" x14ac:dyDescent="0.25">
      <c r="A439" t="str">
        <f>IF(OR(TRIM(Music!A439)="", TRIM(Music!B439)=""),"","{ freq="&amp;Music!A439&amp;", duration="&amp;Music!B439&amp;"},")</f>
        <v/>
      </c>
    </row>
    <row r="440" spans="1:1" x14ac:dyDescent="0.25">
      <c r="A440" t="str">
        <f>IF(OR(TRIM(Music!A440)="", TRIM(Music!B440)=""),"","{ freq="&amp;Music!A440&amp;", duration="&amp;Music!B440&amp;"},")</f>
        <v/>
      </c>
    </row>
    <row r="441" spans="1:1" x14ac:dyDescent="0.25">
      <c r="A441" t="str">
        <f>IF(OR(TRIM(Music!A441)="", TRIM(Music!B441)=""),"","{ freq="&amp;Music!A441&amp;", duration="&amp;Music!B441&amp;"},")</f>
        <v/>
      </c>
    </row>
    <row r="442" spans="1:1" x14ac:dyDescent="0.25">
      <c r="A442" t="str">
        <f>IF(OR(TRIM(Music!A442)="", TRIM(Music!B442)=""),"","{ freq="&amp;Music!A442&amp;", duration="&amp;Music!B442&amp;"},")</f>
        <v/>
      </c>
    </row>
    <row r="443" spans="1:1" x14ac:dyDescent="0.25">
      <c r="A443" t="str">
        <f>IF(OR(TRIM(Music!A443)="", TRIM(Music!B443)=""),"","{ freq="&amp;Music!A443&amp;", duration="&amp;Music!B443&amp;"},")</f>
        <v/>
      </c>
    </row>
    <row r="444" spans="1:1" x14ac:dyDescent="0.25">
      <c r="A444" t="str">
        <f>IF(OR(TRIM(Music!A444)="", TRIM(Music!B444)=""),"","{ freq="&amp;Music!A444&amp;", duration="&amp;Music!B444&amp;"},")</f>
        <v/>
      </c>
    </row>
    <row r="445" spans="1:1" x14ac:dyDescent="0.25">
      <c r="A445" t="str">
        <f>IF(OR(TRIM(Music!A445)="", TRIM(Music!B445)=""),"","{ freq="&amp;Music!A445&amp;", duration="&amp;Music!B445&amp;"},")</f>
        <v/>
      </c>
    </row>
    <row r="446" spans="1:1" x14ac:dyDescent="0.25">
      <c r="A446" t="str">
        <f>IF(OR(TRIM(Music!A446)="", TRIM(Music!B446)=""),"","{ freq="&amp;Music!A446&amp;", duration="&amp;Music!B446&amp;"},")</f>
        <v/>
      </c>
    </row>
    <row r="447" spans="1:1" x14ac:dyDescent="0.25">
      <c r="A447" t="str">
        <f>IF(OR(TRIM(Music!A447)="", TRIM(Music!B447)=""),"","{ freq="&amp;Music!A447&amp;", duration="&amp;Music!B447&amp;"},")</f>
        <v/>
      </c>
    </row>
    <row r="448" spans="1:1" x14ac:dyDescent="0.25">
      <c r="A448" t="str">
        <f>IF(OR(TRIM(Music!A448)="", TRIM(Music!B448)=""),"","{ freq="&amp;Music!A448&amp;", duration="&amp;Music!B448&amp;"},")</f>
        <v/>
      </c>
    </row>
    <row r="449" spans="1:1" x14ac:dyDescent="0.25">
      <c r="A449" t="str">
        <f>IF(OR(TRIM(Music!A449)="", TRIM(Music!B449)=""),"","{ freq="&amp;Music!A449&amp;", duration="&amp;Music!B449&amp;"},")</f>
        <v/>
      </c>
    </row>
    <row r="450" spans="1:1" x14ac:dyDescent="0.25">
      <c r="A450" t="str">
        <f>IF(OR(TRIM(Music!A450)="", TRIM(Music!B450)=""),"","{ freq="&amp;Music!A450&amp;", duration="&amp;Music!B450&amp;"},")</f>
        <v/>
      </c>
    </row>
    <row r="451" spans="1:1" x14ac:dyDescent="0.25">
      <c r="A451" t="str">
        <f>IF(OR(TRIM(Music!A451)="", TRIM(Music!B451)=""),"","{ freq="&amp;Music!A451&amp;", duration="&amp;Music!B451&amp;"},")</f>
        <v/>
      </c>
    </row>
    <row r="452" spans="1:1" x14ac:dyDescent="0.25">
      <c r="A452" t="str">
        <f>IF(OR(TRIM(Music!A452)="", TRIM(Music!B452)=""),"","{ freq="&amp;Music!A452&amp;", duration="&amp;Music!B452&amp;"},")</f>
        <v/>
      </c>
    </row>
    <row r="453" spans="1:1" x14ac:dyDescent="0.25">
      <c r="A453" t="str">
        <f>IF(OR(TRIM(Music!A453)="", TRIM(Music!B453)=""),"","{ freq="&amp;Music!A453&amp;", duration="&amp;Music!B453&amp;"},")</f>
        <v/>
      </c>
    </row>
    <row r="454" spans="1:1" x14ac:dyDescent="0.25">
      <c r="A454" t="str">
        <f>IF(OR(TRIM(Music!A454)="", TRIM(Music!B454)=""),"","{ freq="&amp;Music!A454&amp;", duration="&amp;Music!B454&amp;"},")</f>
        <v/>
      </c>
    </row>
    <row r="455" spans="1:1" x14ac:dyDescent="0.25">
      <c r="A455" t="str">
        <f>IF(OR(TRIM(Music!A455)="", TRIM(Music!B455)=""),"","{ freq="&amp;Music!A455&amp;", duration="&amp;Music!B455&amp;"},")</f>
        <v/>
      </c>
    </row>
    <row r="456" spans="1:1" x14ac:dyDescent="0.25">
      <c r="A456" t="str">
        <f>IF(OR(TRIM(Music!A456)="", TRIM(Music!B456)=""),"","{ freq="&amp;Music!A456&amp;", duration="&amp;Music!B456&amp;"},")</f>
        <v/>
      </c>
    </row>
    <row r="457" spans="1:1" x14ac:dyDescent="0.25">
      <c r="A457" t="str">
        <f>IF(OR(TRIM(Music!A457)="", TRIM(Music!B457)=""),"","{ freq="&amp;Music!A457&amp;", duration="&amp;Music!B457&amp;"},")</f>
        <v/>
      </c>
    </row>
    <row r="458" spans="1:1" x14ac:dyDescent="0.25">
      <c r="A458" t="str">
        <f>IF(OR(TRIM(Music!A458)="", TRIM(Music!B458)=""),"","{ freq="&amp;Music!A458&amp;", duration="&amp;Music!B458&amp;"},")</f>
        <v/>
      </c>
    </row>
    <row r="459" spans="1:1" x14ac:dyDescent="0.25">
      <c r="A459" t="str">
        <f>IF(OR(TRIM(Music!A459)="", TRIM(Music!B459)=""),"","{ freq="&amp;Music!A459&amp;", duration="&amp;Music!B459&amp;"},")</f>
        <v/>
      </c>
    </row>
    <row r="460" spans="1:1" x14ac:dyDescent="0.25">
      <c r="A460" t="str">
        <f>IF(OR(TRIM(Music!A460)="", TRIM(Music!B460)=""),"","{ freq="&amp;Music!A460&amp;", duration="&amp;Music!B460&amp;"},")</f>
        <v/>
      </c>
    </row>
    <row r="461" spans="1:1" x14ac:dyDescent="0.25">
      <c r="A461" t="str">
        <f>IF(OR(TRIM(Music!A461)="", TRIM(Music!B461)=""),"","{ freq="&amp;Music!A461&amp;", duration="&amp;Music!B461&amp;"},")</f>
        <v/>
      </c>
    </row>
    <row r="462" spans="1:1" x14ac:dyDescent="0.25">
      <c r="A462" t="str">
        <f>IF(OR(TRIM(Music!A462)="", TRIM(Music!B462)=""),"","{ freq="&amp;Music!A462&amp;", duration="&amp;Music!B462&amp;"},")</f>
        <v/>
      </c>
    </row>
    <row r="463" spans="1:1" x14ac:dyDescent="0.25">
      <c r="A463" t="str">
        <f>IF(OR(TRIM(Music!A463)="", TRIM(Music!B463)=""),"","{ freq="&amp;Music!A463&amp;", duration="&amp;Music!B463&amp;"},")</f>
        <v/>
      </c>
    </row>
    <row r="464" spans="1:1" x14ac:dyDescent="0.25">
      <c r="A464" t="str">
        <f>IF(OR(TRIM(Music!A464)="", TRIM(Music!B464)=""),"","{ freq="&amp;Music!A464&amp;", duration="&amp;Music!B464&amp;"},")</f>
        <v/>
      </c>
    </row>
    <row r="465" spans="1:1" x14ac:dyDescent="0.25">
      <c r="A465" t="str">
        <f>IF(OR(TRIM(Music!A465)="", TRIM(Music!B465)=""),"","{ freq="&amp;Music!A465&amp;", duration="&amp;Music!B465&amp;"},")</f>
        <v/>
      </c>
    </row>
    <row r="466" spans="1:1" x14ac:dyDescent="0.25">
      <c r="A466" t="str">
        <f>IF(OR(TRIM(Music!A466)="", TRIM(Music!B466)=""),"","{ freq="&amp;Music!A466&amp;", duration="&amp;Music!B466&amp;"},")</f>
        <v/>
      </c>
    </row>
    <row r="467" spans="1:1" x14ac:dyDescent="0.25">
      <c r="A467" t="str">
        <f>IF(OR(TRIM(Music!A467)="", TRIM(Music!B467)=""),"","{ freq="&amp;Music!A467&amp;", duration="&amp;Music!B467&amp;"},")</f>
        <v/>
      </c>
    </row>
    <row r="468" spans="1:1" x14ac:dyDescent="0.25">
      <c r="A468" t="str">
        <f>IF(OR(TRIM(Music!A468)="", TRIM(Music!B468)=""),"","{ freq="&amp;Music!A468&amp;", duration="&amp;Music!B468&amp;"},")</f>
        <v/>
      </c>
    </row>
    <row r="469" spans="1:1" x14ac:dyDescent="0.25">
      <c r="A469" t="str">
        <f>IF(OR(TRIM(Music!A469)="", TRIM(Music!B469)=""),"","{ freq="&amp;Music!A469&amp;", duration="&amp;Music!B469&amp;"},")</f>
        <v/>
      </c>
    </row>
    <row r="470" spans="1:1" x14ac:dyDescent="0.25">
      <c r="A470" t="str">
        <f>IF(OR(TRIM(Music!A470)="", TRIM(Music!B470)=""),"","{ freq="&amp;Music!A470&amp;", duration="&amp;Music!B470&amp;"},")</f>
        <v/>
      </c>
    </row>
    <row r="471" spans="1:1" x14ac:dyDescent="0.25">
      <c r="A471" t="str">
        <f>IF(OR(TRIM(Music!A471)="", TRIM(Music!B471)=""),"","{ freq="&amp;Music!A471&amp;", duration="&amp;Music!B471&amp;"},")</f>
        <v/>
      </c>
    </row>
    <row r="472" spans="1:1" x14ac:dyDescent="0.25">
      <c r="A472" t="str">
        <f>IF(OR(TRIM(Music!A472)="", TRIM(Music!B472)=""),"","{ freq="&amp;Music!A472&amp;", duration="&amp;Music!B472&amp;"},")</f>
        <v/>
      </c>
    </row>
    <row r="473" spans="1:1" x14ac:dyDescent="0.25">
      <c r="A473" t="str">
        <f>IF(OR(TRIM(Music!A473)="", TRIM(Music!B473)=""),"","{ freq="&amp;Music!A473&amp;", duration="&amp;Music!B473&amp;"},")</f>
        <v/>
      </c>
    </row>
    <row r="474" spans="1:1" x14ac:dyDescent="0.25">
      <c r="A474" t="str">
        <f>IF(OR(TRIM(Music!A474)="", TRIM(Music!B474)=""),"","{ freq="&amp;Music!A474&amp;", duration="&amp;Music!B474&amp;"},")</f>
        <v/>
      </c>
    </row>
    <row r="475" spans="1:1" x14ac:dyDescent="0.25">
      <c r="A475" t="str">
        <f>IF(OR(TRIM(Music!A475)="", TRIM(Music!B475)=""),"","{ freq="&amp;Music!A475&amp;", duration="&amp;Music!B475&amp;"},")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BE7F9-9BFB-4D36-BFA7-65DB01BD6A17}">
  <sheetPr codeName="Sheet5"/>
  <dimension ref="A1:A475"/>
  <sheetViews>
    <sheetView workbookViewId="0">
      <selection activeCell="B14" sqref="B14"/>
    </sheetView>
  </sheetViews>
  <sheetFormatPr defaultRowHeight="15" x14ac:dyDescent="0.25"/>
  <cols>
    <col min="1" max="1" width="27.5703125" customWidth="1"/>
  </cols>
  <sheetData>
    <row r="1" spans="1:1" x14ac:dyDescent="0.25">
      <c r="A1" s="9" t="e">
        <f>_xlfn.TEXTJOIN("",TRUE,,Music!$I$6," = [",A2:$A$475,"]")</f>
        <v>#REF!</v>
      </c>
    </row>
    <row r="2" spans="1:1" x14ac:dyDescent="0.25">
      <c r="A2" t="str">
        <f>IF(OR(TRIM(Music!A2)="", TRIM(Music!B2)=""),"","{ 'freq':"&amp;Music!A2&amp;", 'duration':"&amp;Music!B2&amp;"},")</f>
        <v>{ 'freq':196, 'duration':333},</v>
      </c>
    </row>
    <row r="3" spans="1:1" x14ac:dyDescent="0.25">
      <c r="A3" t="str">
        <f>IF(OR(TRIM(Music!A3)="", TRIM(Music!B3)=""),"","{ 'freq':"&amp;Music!A3&amp;", 'duration':"&amp;Music!B3&amp;"},")</f>
        <v>{ 'freq':196, 'duration':333},</v>
      </c>
    </row>
    <row r="4" spans="1:1" x14ac:dyDescent="0.25">
      <c r="A4" t="str">
        <f>IF(OR(TRIM(Music!A4)="", TRIM(Music!B4)=""),"","{ 'freq':"&amp;Music!A4&amp;", 'duration':"&amp;Music!B4&amp;"},")</f>
        <v>{ 'freq':330, 'duration':333},</v>
      </c>
    </row>
    <row r="5" spans="1:1" x14ac:dyDescent="0.25">
      <c r="A5" t="str">
        <f>IF(OR(TRIM(Music!A5)="", TRIM(Music!B5)=""),"","{ 'freq':"&amp;Music!A5&amp;", 'duration':"&amp;Music!B5&amp;"},")</f>
        <v>{ 'freq':294, 'duration':333},</v>
      </c>
    </row>
    <row r="6" spans="1:1" x14ac:dyDescent="0.25">
      <c r="A6" t="str">
        <f>IF(OR(TRIM(Music!A6)="", TRIM(Music!B6)=""),"","{ 'freq':"&amp;Music!A6&amp;", 'duration':"&amp;Music!B6&amp;"},")</f>
        <v>{ 'freq':262, 'duration':333},</v>
      </c>
    </row>
    <row r="7" spans="1:1" x14ac:dyDescent="0.25">
      <c r="A7" t="str">
        <f>IF(OR(TRIM(Music!A7)="", TRIM(Music!B7)=""),"","{ 'freq':"&amp;Music!A7&amp;", 'duration':"&amp;Music!B7&amp;"},")</f>
        <v>{ 'freq':196, 'duration':1000},</v>
      </c>
    </row>
    <row r="8" spans="1:1" x14ac:dyDescent="0.25">
      <c r="A8" t="str">
        <f>IF(OR(TRIM(Music!A8)="", TRIM(Music!B8)=""),"","{ 'freq':"&amp;Music!A8&amp;", 'duration':"&amp;Music!B8&amp;"},")</f>
        <v>{ 'freq':196, 'duration':333},</v>
      </c>
    </row>
    <row r="9" spans="1:1" x14ac:dyDescent="0.25">
      <c r="A9" t="str">
        <f>IF(OR(TRIM(Music!A9)="", TRIM(Music!B9)=""),"","{ 'freq':"&amp;Music!A9&amp;", 'duration':"&amp;Music!B9&amp;"},")</f>
        <v>{ 'freq':196, 'duration':333},</v>
      </c>
    </row>
    <row r="10" spans="1:1" x14ac:dyDescent="0.25">
      <c r="A10" t="str">
        <f>IF(OR(TRIM(Music!A10)="", TRIM(Music!B10)=""),"","{ 'freq':"&amp;Music!A10&amp;", 'duration':"&amp;Music!B10&amp;"},")</f>
        <v>{ 'freq':330, 'duration':333},</v>
      </c>
    </row>
    <row r="11" spans="1:1" x14ac:dyDescent="0.25">
      <c r="A11" t="str">
        <f>IF(OR(TRIM(Music!A11)="", TRIM(Music!B11)=""),"","{ 'freq':"&amp;Music!A11&amp;", 'duration':"&amp;Music!B11&amp;"},")</f>
        <v>{ 'freq':294, 'duration':333},</v>
      </c>
    </row>
    <row r="12" spans="1:1" x14ac:dyDescent="0.25">
      <c r="A12" t="str">
        <f>IF(OR(TRIM(Music!A12)="", TRIM(Music!B12)=""),"","{ 'freq':"&amp;Music!A12&amp;", 'duration':"&amp;Music!B12&amp;"},")</f>
        <v>{ 'freq':262, 'duration':333},</v>
      </c>
    </row>
    <row r="13" spans="1:1" x14ac:dyDescent="0.25">
      <c r="A13" t="str">
        <f>IF(OR(TRIM(Music!A13)="", TRIM(Music!B13)=""),"","{ 'freq':"&amp;Music!A13&amp;", 'duration':"&amp;Music!B13&amp;"},")</f>
        <v>{ 'freq':220, 'duration':1000},</v>
      </c>
    </row>
    <row r="14" spans="1:1" x14ac:dyDescent="0.25">
      <c r="A14" t="str">
        <f>IF(OR(TRIM(Music!A14)="", TRIM(Music!B14)=""),"","{ 'freq':"&amp;Music!A14&amp;", 'duration':"&amp;Music!B14&amp;"},")</f>
        <v>{ 'freq':220, 'duration':333},</v>
      </c>
    </row>
    <row r="15" spans="1:1" x14ac:dyDescent="0.25">
      <c r="A15" t="str">
        <f>IF(OR(TRIM(Music!A15)="", TRIM(Music!B15)=""),"","{ 'freq':"&amp;Music!A15&amp;", 'duration':"&amp;Music!B15&amp;"},")</f>
        <v>{ 'freq':220, 'duration':333},</v>
      </c>
    </row>
    <row r="16" spans="1:1" x14ac:dyDescent="0.25">
      <c r="A16" t="str">
        <f>IF(OR(TRIM(Music!A16)="", TRIM(Music!B16)=""),"","{ 'freq':"&amp;Music!A16&amp;", 'duration':"&amp;Music!B16&amp;"},")</f>
        <v>{ 'freq':349, 'duration':333},</v>
      </c>
    </row>
    <row r="17" spans="1:1" x14ac:dyDescent="0.25">
      <c r="A17" t="str">
        <f>IF(OR(TRIM(Music!A17)="", TRIM(Music!B17)=""),"","{ 'freq':"&amp;Music!A17&amp;", 'duration':"&amp;Music!B17&amp;"},")</f>
        <v>{ 'freq':330, 'duration':333},</v>
      </c>
    </row>
    <row r="18" spans="1:1" x14ac:dyDescent="0.25">
      <c r="A18" t="str">
        <f>IF(OR(TRIM(Music!A18)="", TRIM(Music!B18)=""),"","{ 'freq':"&amp;Music!A18&amp;", 'duration':"&amp;Music!B18&amp;"},")</f>
        <v>{ 'freq':294, 'duration':333},</v>
      </c>
    </row>
    <row r="19" spans="1:1" x14ac:dyDescent="0.25">
      <c r="A19" t="str">
        <f>IF(OR(TRIM(Music!A19)="", TRIM(Music!B19)=""),"","{ 'freq':"&amp;Music!A19&amp;", 'duration':"&amp;Music!B19&amp;"},")</f>
        <v>{ 'freq':247, 'duration':1000},</v>
      </c>
    </row>
    <row r="20" spans="1:1" x14ac:dyDescent="0.25">
      <c r="A20" t="str">
        <f>IF(OR(TRIM(Music!A20)="", TRIM(Music!B20)=""),"","{ 'freq':"&amp;Music!A20&amp;", 'duration':"&amp;Music!B20&amp;"},")</f>
        <v>{ 'freq':392, 'duration':333},</v>
      </c>
    </row>
    <row r="21" spans="1:1" x14ac:dyDescent="0.25">
      <c r="A21" t="str">
        <f>IF(OR(TRIM(Music!A21)="", TRIM(Music!B21)=""),"","{ 'freq':"&amp;Music!A21&amp;", 'duration':"&amp;Music!B21&amp;"},")</f>
        <v>{ 'freq':392, 'duration':333},</v>
      </c>
    </row>
    <row r="22" spans="1:1" x14ac:dyDescent="0.25">
      <c r="A22" t="str">
        <f>IF(OR(TRIM(Music!A22)="", TRIM(Music!B22)=""),"","{ 'freq':"&amp;Music!A22&amp;", 'duration':"&amp;Music!B22&amp;"},")</f>
        <v>{ 'freq':349, 'duration':333},</v>
      </c>
    </row>
    <row r="23" spans="1:1" x14ac:dyDescent="0.25">
      <c r="A23" t="str">
        <f>IF(OR(TRIM(Music!A23)="", TRIM(Music!B23)=""),"","{ 'freq':"&amp;Music!A23&amp;", 'duration':"&amp;Music!B23&amp;"},")</f>
        <v>{ 'freq':294, 'duration':333},</v>
      </c>
    </row>
    <row r="24" spans="1:1" x14ac:dyDescent="0.25">
      <c r="A24" t="str">
        <f>IF(OR(TRIM(Music!A24)="", TRIM(Music!B24)=""),"","{ 'freq':"&amp;Music!A24&amp;", 'duration':"&amp;Music!B24&amp;"},")</f>
        <v>{ 'freq':262, 'duration':1000},</v>
      </c>
    </row>
    <row r="25" spans="1:1" x14ac:dyDescent="0.25">
      <c r="A25" t="str">
        <f>IF(OR(TRIM(Music!A25)="", TRIM(Music!B25)=""),"","{ 'freq':"&amp;Music!A25&amp;", 'duration':"&amp;Music!B25&amp;"},")</f>
        <v>{ 'freq':196, 'duration':333},</v>
      </c>
    </row>
    <row r="26" spans="1:1" x14ac:dyDescent="0.25">
      <c r="A26" t="str">
        <f>IF(OR(TRIM(Music!A26)="", TRIM(Music!B26)=""),"","{ 'freq':"&amp;Music!A26&amp;", 'duration':"&amp;Music!B26&amp;"},")</f>
        <v>{ 'freq':196, 'duration':333},</v>
      </c>
    </row>
    <row r="27" spans="1:1" x14ac:dyDescent="0.25">
      <c r="A27" t="str">
        <f>IF(OR(TRIM(Music!A77)="", TRIM(Music!B77)=""),"","{ 'freq':"&amp;Music!A77&amp;", 'duration':"&amp;Music!B77&amp;"},")</f>
        <v>{ 'freq':0, 'duration':0},</v>
      </c>
    </row>
    <row r="28" spans="1:1" x14ac:dyDescent="0.25">
      <c r="A28" t="str">
        <f>IF(OR(TRIM(Music!A28)="", TRIM(Music!B28)=""),"","{ 'freq':"&amp;Music!A28&amp;", 'duration':"&amp;Music!B28&amp;"},")</f>
        <v>{ 'freq':294, 'duration':333},</v>
      </c>
    </row>
    <row r="29" spans="1:1" x14ac:dyDescent="0.25">
      <c r="A29" t="str">
        <f>IF(OR(TRIM(Music!A29)="", TRIM(Music!B29)=""),"","{ 'freq':"&amp;Music!A29&amp;", 'duration':"&amp;Music!B29&amp;"},")</f>
        <v>{ 'freq':262, 'duration':333},</v>
      </c>
    </row>
    <row r="30" spans="1:1" x14ac:dyDescent="0.25">
      <c r="A30" t="str">
        <f>IF(OR(TRIM(Music!A30)="", TRIM(Music!B30)=""),"","{ 'freq':"&amp;Music!A30&amp;", 'duration':"&amp;Music!B30&amp;"},")</f>
        <v>{ 'freq':196, 'duration':1000},</v>
      </c>
    </row>
    <row r="31" spans="1:1" x14ac:dyDescent="0.25">
      <c r="A31" t="str">
        <f>IF(OR(TRIM(Music!A31)="", TRIM(Music!B31)=""),"","{ 'freq':"&amp;Music!A31&amp;", 'duration':"&amp;Music!B31&amp;"},")</f>
        <v>{ 'freq':196, 'duration':333},</v>
      </c>
    </row>
    <row r="32" spans="1:1" x14ac:dyDescent="0.25">
      <c r="A32" t="str">
        <f>IF(OR(TRIM(Music!A32)="", TRIM(Music!B32)=""),"","{ 'freq':"&amp;Music!A32&amp;", 'duration':"&amp;Music!B32&amp;"},")</f>
        <v>{ 'freq':196, 'duration':333},</v>
      </c>
    </row>
    <row r="33" spans="1:1" x14ac:dyDescent="0.25">
      <c r="A33" t="str">
        <f>IF(OR(TRIM(Music!A33)="", TRIM(Music!B33)=""),"","{ 'freq':"&amp;Music!A33&amp;", 'duration':"&amp;Music!B33&amp;"},")</f>
        <v>{ 'freq':330, 'duration':333},</v>
      </c>
    </row>
    <row r="34" spans="1:1" x14ac:dyDescent="0.25">
      <c r="A34" t="str">
        <f>IF(OR(TRIM(Music!A34)="", TRIM(Music!B34)=""),"","{ 'freq':"&amp;Music!A34&amp;", 'duration':"&amp;Music!B34&amp;"},")</f>
        <v>{ 'freq':294, 'duration':333},</v>
      </c>
    </row>
    <row r="35" spans="1:1" x14ac:dyDescent="0.25">
      <c r="A35" t="str">
        <f>IF(OR(TRIM(Music!A35)="", TRIM(Music!B35)=""),"","{ 'freq':"&amp;Music!A35&amp;", 'duration':"&amp;Music!B35&amp;"},")</f>
        <v>{ 'freq':262, 'duration':333},</v>
      </c>
    </row>
    <row r="36" spans="1:1" x14ac:dyDescent="0.25">
      <c r="A36" t="str">
        <f>IF(OR(TRIM(Music!A36)="", TRIM(Music!B36)=""),"","{ 'freq':"&amp;Music!A36&amp;", 'duration':"&amp;Music!B36&amp;"},")</f>
        <v>{ 'freq':220, 'duration':1000},</v>
      </c>
    </row>
    <row r="37" spans="1:1" x14ac:dyDescent="0.25">
      <c r="A37" t="str">
        <f>IF(OR(TRIM(Music!A37)="", TRIM(Music!B37)=""),"","{ 'freq':"&amp;Music!A37&amp;", 'duration':"&amp;Music!B37&amp;"},")</f>
        <v>{ 'freq':220, 'duration':333},</v>
      </c>
    </row>
    <row r="38" spans="1:1" x14ac:dyDescent="0.25">
      <c r="A38" t="str">
        <f>IF(OR(TRIM(Music!A38)="", TRIM(Music!B38)=""),"","{ 'freq':"&amp;Music!A38&amp;", 'duration':"&amp;Music!B38&amp;"},")</f>
        <v>{ 'freq':220, 'duration':333},</v>
      </c>
    </row>
    <row r="39" spans="1:1" x14ac:dyDescent="0.25">
      <c r="A39" t="str">
        <f>IF(OR(TRIM(Music!A39)="", TRIM(Music!B39)=""),"","{ 'freq':"&amp;Music!A39&amp;", 'duration':"&amp;Music!B39&amp;"},")</f>
        <v>{ 'freq':349, 'duration':333},</v>
      </c>
    </row>
    <row r="40" spans="1:1" x14ac:dyDescent="0.25">
      <c r="A40" t="str">
        <f>IF(OR(TRIM(Music!A40)="", TRIM(Music!B40)=""),"","{ 'freq':"&amp;Music!A40&amp;", 'duration':"&amp;Music!B40&amp;"},")</f>
        <v>{ 'freq':330, 'duration':333},</v>
      </c>
    </row>
    <row r="41" spans="1:1" x14ac:dyDescent="0.25">
      <c r="A41" t="str">
        <f>IF(OR(TRIM(Music!A41)="", TRIM(Music!B41)=""),"","{ 'freq':"&amp;Music!A41&amp;", 'duration':"&amp;Music!B41&amp;"},")</f>
        <v>{ 'freq':294, 'duration':333},</v>
      </c>
    </row>
    <row r="42" spans="1:1" x14ac:dyDescent="0.25">
      <c r="A42" t="str">
        <f>IF(OR(TRIM(Music!A42)="", TRIM(Music!B42)=""),"","{ 'freq':"&amp;Music!A42&amp;", 'duration':"&amp;Music!B42&amp;"},")</f>
        <v>{ 'freq':247, 'duration':1000},</v>
      </c>
    </row>
    <row r="43" spans="1:1" x14ac:dyDescent="0.25">
      <c r="A43" t="str">
        <f>IF(OR(TRIM(Music!A43)="", TRIM(Music!B43)=""),"","{ 'freq':"&amp;Music!A43&amp;", 'duration':"&amp;Music!B43&amp;"},")</f>
        <v>{ 'freq':392, 'duration':333},</v>
      </c>
    </row>
    <row r="44" spans="1:1" x14ac:dyDescent="0.25">
      <c r="A44" t="str">
        <f>IF(OR(TRIM(Music!A44)="", TRIM(Music!B44)=""),"","{ 'freq':"&amp;Music!A44&amp;", 'duration':"&amp;Music!B44&amp;"},")</f>
        <v>{ 'freq':392, 'duration':333},</v>
      </c>
    </row>
    <row r="45" spans="1:1" x14ac:dyDescent="0.25">
      <c r="A45" t="str">
        <f>IF(OR(TRIM(Music!A45)="", TRIM(Music!B45)=""),"","{ 'freq':"&amp;Music!A45&amp;", 'duration':"&amp;Music!B45&amp;"},")</f>
        <v>{ 'freq':392, 'duration':333},</v>
      </c>
    </row>
    <row r="46" spans="1:1" x14ac:dyDescent="0.25">
      <c r="A46" t="str">
        <f>IF(OR(TRIM(Music!A46)="", TRIM(Music!B46)=""),"","{ 'freq':"&amp;Music!A46&amp;", 'duration':"&amp;Music!B46&amp;"},")</f>
        <v>{ 'freq':392, 'duration':333},</v>
      </c>
    </row>
    <row r="47" spans="1:1" x14ac:dyDescent="0.25">
      <c r="A47" t="str">
        <f>IF(OR(TRIM(Music!A47)="", TRIM(Music!B47)=""),"","{ 'freq':"&amp;Music!A47&amp;", 'duration':"&amp;Music!B47&amp;"},")</f>
        <v>{ 'freq':440, 'duration':333},</v>
      </c>
    </row>
    <row r="48" spans="1:1" x14ac:dyDescent="0.25">
      <c r="A48" t="str">
        <f>IF(OR(TRIM(Music!A48)="", TRIM(Music!B48)=""),"","{ 'freq':"&amp;Music!A48&amp;", 'duration':"&amp;Music!B48&amp;"},")</f>
        <v>{ 'freq':392, 'duration':333},</v>
      </c>
    </row>
    <row r="49" spans="1:1" x14ac:dyDescent="0.25">
      <c r="A49" t="str">
        <f>IF(OR(TRIM(Music!A49)="", TRIM(Music!B49)=""),"","{ 'freq':"&amp;Music!A49&amp;", 'duration':"&amp;Music!B49&amp;"},")</f>
        <v>{ 'freq':349, 'duration':333},</v>
      </c>
    </row>
    <row r="50" spans="1:1" x14ac:dyDescent="0.25">
      <c r="A50" t="str">
        <f>IF(OR(TRIM(Music!A50)="", TRIM(Music!B50)=""),"","{ 'freq':"&amp;Music!A50&amp;", 'duration':"&amp;Music!B50&amp;"},")</f>
        <v>{ 'freq':294, 'duration':333},</v>
      </c>
    </row>
    <row r="51" spans="1:1" x14ac:dyDescent="0.25">
      <c r="A51" t="str">
        <f>IF(OR(TRIM(Music!A51)="", TRIM(Music!B51)=""),"","{ 'freq':"&amp;Music!A51&amp;", 'duration':"&amp;Music!B51&amp;"},")</f>
        <v>{ 'freq':262, 'duration':500},</v>
      </c>
    </row>
    <row r="52" spans="1:1" x14ac:dyDescent="0.25">
      <c r="A52" t="str">
        <f>IF(OR(TRIM(Music!A52)="", TRIM(Music!B52)=""),"","{ 'freq':"&amp;Music!A52&amp;", 'duration':"&amp;Music!B52&amp;"},")</f>
        <v>{ 'freq':392, 'duration':500},</v>
      </c>
    </row>
    <row r="53" spans="1:1" x14ac:dyDescent="0.25">
      <c r="A53" t="str">
        <f>IF(OR(TRIM(Music!A53)="", TRIM(Music!B53)=""),"","{ 'freq':"&amp;Music!A53&amp;", 'duration':"&amp;Music!B53&amp;"},")</f>
        <v>{ 'freq':0, 'duration':0},</v>
      </c>
    </row>
    <row r="54" spans="1:1" x14ac:dyDescent="0.25">
      <c r="A54" t="str">
        <f>IF(OR(TRIM(Music!A54)="", TRIM(Music!B54)=""),"","{ 'freq':"&amp;Music!A54&amp;", 'duration':"&amp;Music!B54&amp;"},")</f>
        <v/>
      </c>
    </row>
    <row r="55" spans="1:1" x14ac:dyDescent="0.25">
      <c r="A55" t="str">
        <f>IF(OR(TRIM(Music!A55)="", TRIM(Music!B55)=""),"","{ 'freq':"&amp;Music!A55&amp;", 'duration':"&amp;Music!B55&amp;"},")</f>
        <v/>
      </c>
    </row>
    <row r="56" spans="1:1" x14ac:dyDescent="0.25">
      <c r="A56" t="str">
        <f>IF(OR(TRIM(Music!A56)="", TRIM(Music!B56)=""),"","{ 'freq':"&amp;Music!A56&amp;", 'duration':"&amp;Music!B56&amp;"},")</f>
        <v/>
      </c>
    </row>
    <row r="57" spans="1:1" x14ac:dyDescent="0.25">
      <c r="A57" t="str">
        <f>IF(OR(TRIM(Music!A57)="", TRIM(Music!B57)=""),"","{ 'freq':"&amp;Music!A57&amp;", 'duration':"&amp;Music!B57&amp;"},")</f>
        <v/>
      </c>
    </row>
    <row r="58" spans="1:1" x14ac:dyDescent="0.25">
      <c r="A58" t="str">
        <f>IF(OR(TRIM(Music!A58)="", TRIM(Music!B58)=""),"","{ 'freq':"&amp;Music!A58&amp;", 'duration':"&amp;Music!B58&amp;"},")</f>
        <v/>
      </c>
    </row>
    <row r="59" spans="1:1" x14ac:dyDescent="0.25">
      <c r="A59" t="str">
        <f>IF(OR(TRIM(Music!A59)="", TRIM(Music!B59)=""),"","{ 'freq':"&amp;Music!A59&amp;", 'duration':"&amp;Music!B59&amp;"},")</f>
        <v/>
      </c>
    </row>
    <row r="60" spans="1:1" x14ac:dyDescent="0.25">
      <c r="A60" t="str">
        <f>IF(OR(TRIM(Music!A60)="", TRIM(Music!B60)=""),"","{ 'freq':"&amp;Music!A60&amp;", 'duration':"&amp;Music!B60&amp;"},")</f>
        <v/>
      </c>
    </row>
    <row r="61" spans="1:1" x14ac:dyDescent="0.25">
      <c r="A61" t="str">
        <f>IF(OR(TRIM(Music!A61)="", TRIM(Music!B61)=""),"","{ 'freq':"&amp;Music!A61&amp;", 'duration':"&amp;Music!B61&amp;"},")</f>
        <v/>
      </c>
    </row>
    <row r="62" spans="1:1" x14ac:dyDescent="0.25">
      <c r="A62" t="str">
        <f>IF(OR(TRIM(Music!A62)="", TRIM(Music!B62)=""),"","{ 'freq':"&amp;Music!A62&amp;", 'duration':"&amp;Music!B62&amp;"},")</f>
        <v/>
      </c>
    </row>
    <row r="63" spans="1:1" x14ac:dyDescent="0.25">
      <c r="A63" t="str">
        <f>IF(OR(TRIM(Music!A63)="", TRIM(Music!B63)=""),"","{ 'freq':"&amp;Music!A63&amp;", 'duration':"&amp;Music!B63&amp;"},")</f>
        <v/>
      </c>
    </row>
    <row r="64" spans="1:1" x14ac:dyDescent="0.25">
      <c r="A64" t="str">
        <f>IF(OR(TRIM(Music!A64)="", TRIM(Music!B64)=""),"","{ 'freq':"&amp;Music!A64&amp;", 'duration':"&amp;Music!B64&amp;"},")</f>
        <v/>
      </c>
    </row>
    <row r="65" spans="1:1" x14ac:dyDescent="0.25">
      <c r="A65" t="str">
        <f>IF(OR(TRIM(Music!A65)="", TRIM(Music!B65)=""),"","{ 'freq':"&amp;Music!A65&amp;", 'duration':"&amp;Music!B65&amp;"},")</f>
        <v/>
      </c>
    </row>
    <row r="66" spans="1:1" x14ac:dyDescent="0.25">
      <c r="A66" t="str">
        <f>IF(OR(TRIM(Music!A66)="", TRIM(Music!B66)=""),"","{ 'freq':"&amp;Music!A66&amp;", 'duration':"&amp;Music!B66&amp;"},")</f>
        <v/>
      </c>
    </row>
    <row r="67" spans="1:1" x14ac:dyDescent="0.25">
      <c r="A67" t="str">
        <f>IF(OR(TRIM(Music!A67)="", TRIM(Music!B67)=""),"","{ 'freq':"&amp;Music!A67&amp;", 'duration':"&amp;Music!B67&amp;"},")</f>
        <v/>
      </c>
    </row>
    <row r="68" spans="1:1" x14ac:dyDescent="0.25">
      <c r="A68" t="str">
        <f>IF(OR(TRIM(Music!A68)="", TRIM(Music!B68)=""),"","{ 'freq':"&amp;Music!A68&amp;", 'duration':"&amp;Music!B68&amp;"},")</f>
        <v/>
      </c>
    </row>
    <row r="69" spans="1:1" x14ac:dyDescent="0.25">
      <c r="A69" t="str">
        <f>IF(OR(TRIM(Music!A69)="", TRIM(Music!B69)=""),"","{ 'freq':"&amp;Music!A69&amp;", 'duration':"&amp;Music!B69&amp;"},")</f>
        <v/>
      </c>
    </row>
    <row r="70" spans="1:1" x14ac:dyDescent="0.25">
      <c r="A70" t="str">
        <f>IF(OR(TRIM(Music!A70)="", TRIM(Music!B70)=""),"","{ 'freq':"&amp;Music!A70&amp;", 'duration':"&amp;Music!B70&amp;"},")</f>
        <v/>
      </c>
    </row>
    <row r="71" spans="1:1" x14ac:dyDescent="0.25">
      <c r="A71" t="str">
        <f>IF(OR(TRIM(Music!A71)="", TRIM(Music!B71)=""),"","{ 'freq':"&amp;Music!A71&amp;", 'duration':"&amp;Music!B71&amp;"},")</f>
        <v/>
      </c>
    </row>
    <row r="72" spans="1:1" x14ac:dyDescent="0.25">
      <c r="A72" t="str">
        <f>IF(OR(TRIM(Music!A72)="", TRIM(Music!B72)=""),"","{ 'freq':"&amp;Music!A72&amp;", 'duration':"&amp;Music!B72&amp;"},")</f>
        <v/>
      </c>
    </row>
    <row r="73" spans="1:1" x14ac:dyDescent="0.25">
      <c r="A73" t="str">
        <f>IF(OR(TRIM(Music!A73)="", TRIM(Music!B73)=""),"","{ 'freq':"&amp;Music!A73&amp;", 'duration':"&amp;Music!B73&amp;"},")</f>
        <v/>
      </c>
    </row>
    <row r="74" spans="1:1" x14ac:dyDescent="0.25">
      <c r="A74" t="str">
        <f>IF(OR(TRIM(Music!A74)="", TRIM(Music!B74)=""),"","{ 'freq':"&amp;Music!A74&amp;", 'duration':"&amp;Music!B74&amp;"},")</f>
        <v/>
      </c>
    </row>
    <row r="75" spans="1:1" x14ac:dyDescent="0.25">
      <c r="A75" t="str">
        <f>IF(OR(TRIM(Music!A75)="", TRIM(Music!B75)=""),"","{ 'freq':"&amp;Music!A75&amp;", 'duration':"&amp;Music!B75&amp;"},")</f>
        <v/>
      </c>
    </row>
    <row r="76" spans="1:1" x14ac:dyDescent="0.25">
      <c r="A76" t="str">
        <f>IF(OR(TRIM(Music!A76)="", TRIM(Music!B76)=""),"","{ 'freq':"&amp;Music!A76&amp;", 'duration':"&amp;Music!B76&amp;"},")</f>
        <v/>
      </c>
    </row>
    <row r="77" spans="1:1" x14ac:dyDescent="0.25">
      <c r="A77" t="e">
        <f>IF(OR(TRIM(Music!#REF!)="", TRIM(Music!#REF!)=""),"","{ 'freq':"&amp;Music!#REF!&amp;", 'duration':"&amp;Music!#REF!&amp;"},")</f>
        <v>#REF!</v>
      </c>
    </row>
    <row r="78" spans="1:1" x14ac:dyDescent="0.25">
      <c r="A78" t="str">
        <f>IF(OR(TRIM(Music!A78)="", TRIM(Music!B78)=""),"","{ 'freq':"&amp;Music!A78&amp;", 'duration':"&amp;Music!B78&amp;"},")</f>
        <v/>
      </c>
    </row>
    <row r="79" spans="1:1" x14ac:dyDescent="0.25">
      <c r="A79" t="str">
        <f>IF(OR(TRIM(Music!A79)="", TRIM(Music!B79)=""),"","{ 'freq':"&amp;Music!A79&amp;", 'duration':"&amp;Music!B79&amp;"},")</f>
        <v/>
      </c>
    </row>
    <row r="80" spans="1:1" x14ac:dyDescent="0.25">
      <c r="A80" t="str">
        <f>IF(OR(TRIM(Music!A80)="", TRIM(Music!B80)=""),"","{ 'freq':"&amp;Music!A80&amp;", 'duration':"&amp;Music!B80&amp;"},")</f>
        <v/>
      </c>
    </row>
    <row r="81" spans="1:1" x14ac:dyDescent="0.25">
      <c r="A81" t="str">
        <f>IF(OR(TRIM(Music!A81)="", TRIM(Music!B81)=""),"","{ 'freq':"&amp;Music!A81&amp;", 'duration':"&amp;Music!B81&amp;"},")</f>
        <v/>
      </c>
    </row>
    <row r="82" spans="1:1" x14ac:dyDescent="0.25">
      <c r="A82" t="str">
        <f>IF(OR(TRIM(Music!A82)="", TRIM(Music!B82)=""),"","{ 'freq':"&amp;Music!A82&amp;", 'duration':"&amp;Music!B82&amp;"},")</f>
        <v/>
      </c>
    </row>
    <row r="83" spans="1:1" x14ac:dyDescent="0.25">
      <c r="A83" t="str">
        <f>IF(OR(TRIM(Music!A83)="", TRIM(Music!B83)=""),"","{ 'freq':"&amp;Music!A83&amp;", 'duration':"&amp;Music!B83&amp;"},")</f>
        <v/>
      </c>
    </row>
    <row r="84" spans="1:1" x14ac:dyDescent="0.25">
      <c r="A84" t="str">
        <f>IF(OR(TRIM(Music!A84)="", TRIM(Music!B84)=""),"","{ 'freq':"&amp;Music!A84&amp;", 'duration':"&amp;Music!B84&amp;"},")</f>
        <v/>
      </c>
    </row>
    <row r="85" spans="1:1" x14ac:dyDescent="0.25">
      <c r="A85" t="str">
        <f>IF(OR(TRIM(Music!A85)="", TRIM(Music!B85)=""),"","{ 'freq':"&amp;Music!A85&amp;", 'duration':"&amp;Music!B85&amp;"},")</f>
        <v/>
      </c>
    </row>
    <row r="86" spans="1:1" x14ac:dyDescent="0.25">
      <c r="A86" t="str">
        <f>IF(OR(TRIM(Music!A86)="", TRIM(Music!B86)=""),"","{ 'freq':"&amp;Music!A86&amp;", 'duration':"&amp;Music!B86&amp;"},")</f>
        <v/>
      </c>
    </row>
    <row r="87" spans="1:1" x14ac:dyDescent="0.25">
      <c r="A87" t="str">
        <f>IF(OR(TRIM(Music!A87)="", TRIM(Music!B87)=""),"","{ 'freq':"&amp;Music!A87&amp;", 'duration':"&amp;Music!B87&amp;"},")</f>
        <v/>
      </c>
    </row>
    <row r="88" spans="1:1" x14ac:dyDescent="0.25">
      <c r="A88" t="str">
        <f>IF(OR(TRIM(Music!A88)="", TRIM(Music!B88)=""),"","{ 'freq':"&amp;Music!A88&amp;", 'duration':"&amp;Music!B88&amp;"},")</f>
        <v/>
      </c>
    </row>
    <row r="89" spans="1:1" x14ac:dyDescent="0.25">
      <c r="A89" t="str">
        <f>IF(OR(TRIM(Music!A89)="", TRIM(Music!B89)=""),"","{ 'freq':"&amp;Music!A89&amp;", 'duration':"&amp;Music!B89&amp;"},")</f>
        <v/>
      </c>
    </row>
    <row r="90" spans="1:1" x14ac:dyDescent="0.25">
      <c r="A90" t="str">
        <f>IF(OR(TRIM(Music!A90)="", TRIM(Music!B90)=""),"","{ 'freq':"&amp;Music!A90&amp;", 'duration':"&amp;Music!B90&amp;"},")</f>
        <v/>
      </c>
    </row>
    <row r="91" spans="1:1" x14ac:dyDescent="0.25">
      <c r="A91" t="str">
        <f>IF(OR(TRIM(Music!A91)="", TRIM(Music!B91)=""),"","{ 'freq':"&amp;Music!A91&amp;", 'duration':"&amp;Music!B91&amp;"},")</f>
        <v/>
      </c>
    </row>
    <row r="92" spans="1:1" x14ac:dyDescent="0.25">
      <c r="A92" t="str">
        <f>IF(OR(TRIM(Music!A92)="", TRIM(Music!B92)=""),"","{ 'freq':"&amp;Music!A92&amp;", 'duration':"&amp;Music!B92&amp;"},")</f>
        <v/>
      </c>
    </row>
    <row r="93" spans="1:1" x14ac:dyDescent="0.25">
      <c r="A93" t="str">
        <f>IF(OR(TRIM(Music!A93)="", TRIM(Music!B93)=""),"","{ 'freq':"&amp;Music!A93&amp;", 'duration':"&amp;Music!B93&amp;"},")</f>
        <v/>
      </c>
    </row>
    <row r="94" spans="1:1" x14ac:dyDescent="0.25">
      <c r="A94" t="str">
        <f>IF(OR(TRIM(Music!A94)="", TRIM(Music!B94)=""),"","{ 'freq':"&amp;Music!A94&amp;", 'duration':"&amp;Music!B94&amp;"},")</f>
        <v/>
      </c>
    </row>
    <row r="95" spans="1:1" x14ac:dyDescent="0.25">
      <c r="A95" t="str">
        <f>IF(OR(TRIM(Music!A95)="", TRIM(Music!B95)=""),"","{ 'freq':"&amp;Music!A95&amp;", 'duration':"&amp;Music!B95&amp;"},")</f>
        <v/>
      </c>
    </row>
    <row r="96" spans="1:1" x14ac:dyDescent="0.25">
      <c r="A96" t="str">
        <f>IF(OR(TRIM(Music!A96)="", TRIM(Music!B96)=""),"","{ 'freq':"&amp;Music!A96&amp;", 'duration':"&amp;Music!B96&amp;"},")</f>
        <v/>
      </c>
    </row>
    <row r="97" spans="1:1" x14ac:dyDescent="0.25">
      <c r="A97" t="str">
        <f>IF(OR(TRIM(Music!A97)="", TRIM(Music!B97)=""),"","{ 'freq':"&amp;Music!A97&amp;", 'duration':"&amp;Music!B97&amp;"},")</f>
        <v/>
      </c>
    </row>
    <row r="98" spans="1:1" x14ac:dyDescent="0.25">
      <c r="A98" t="str">
        <f>IF(OR(TRIM(Music!A98)="", TRIM(Music!B98)=""),"","{ 'freq':"&amp;Music!A98&amp;", 'duration':"&amp;Music!B98&amp;"},")</f>
        <v/>
      </c>
    </row>
    <row r="99" spans="1:1" x14ac:dyDescent="0.25">
      <c r="A99" t="str">
        <f>IF(OR(TRIM(Music!A99)="", TRIM(Music!B99)=""),"","{ 'freq':"&amp;Music!A99&amp;", 'duration':"&amp;Music!B99&amp;"},")</f>
        <v/>
      </c>
    </row>
    <row r="100" spans="1:1" x14ac:dyDescent="0.25">
      <c r="A100" t="str">
        <f>IF(OR(TRIM(Music!A100)="", TRIM(Music!B100)=""),"","{ 'freq':"&amp;Music!A100&amp;", 'duration':"&amp;Music!B100&amp;"},")</f>
        <v/>
      </c>
    </row>
    <row r="101" spans="1:1" x14ac:dyDescent="0.25">
      <c r="A101" t="str">
        <f>IF(OR(TRIM(Music!A101)="", TRIM(Music!B101)=""),"","{ 'freq':"&amp;Music!A101&amp;", 'duration':"&amp;Music!B101&amp;"},")</f>
        <v/>
      </c>
    </row>
    <row r="102" spans="1:1" x14ac:dyDescent="0.25">
      <c r="A102" t="str">
        <f>IF(OR(TRIM(Music!A102)="", TRIM(Music!B102)=""),"","{ 'freq':"&amp;Music!A102&amp;", 'duration':"&amp;Music!B102&amp;"},")</f>
        <v/>
      </c>
    </row>
    <row r="103" spans="1:1" x14ac:dyDescent="0.25">
      <c r="A103" t="str">
        <f>IF(OR(TRIM(Music!A103)="", TRIM(Music!B103)=""),"","{ 'freq':"&amp;Music!A103&amp;", 'duration':"&amp;Music!B103&amp;"},")</f>
        <v/>
      </c>
    </row>
    <row r="104" spans="1:1" x14ac:dyDescent="0.25">
      <c r="A104" t="str">
        <f>IF(OR(TRIM(Music!A104)="", TRIM(Music!B104)=""),"","{ 'freq':"&amp;Music!A104&amp;", 'duration':"&amp;Music!B104&amp;"},")</f>
        <v/>
      </c>
    </row>
    <row r="105" spans="1:1" x14ac:dyDescent="0.25">
      <c r="A105" t="str">
        <f>IF(OR(TRIM(Music!A105)="", TRIM(Music!B105)=""),"","{ 'freq':"&amp;Music!A105&amp;", 'duration':"&amp;Music!B105&amp;"},")</f>
        <v/>
      </c>
    </row>
    <row r="106" spans="1:1" x14ac:dyDescent="0.25">
      <c r="A106" t="str">
        <f>IF(OR(TRIM(Music!A106)="", TRIM(Music!B106)=""),"","{ 'freq':"&amp;Music!A106&amp;", 'duration':"&amp;Music!B106&amp;"},")</f>
        <v/>
      </c>
    </row>
    <row r="107" spans="1:1" x14ac:dyDescent="0.25">
      <c r="A107" t="str">
        <f>IF(OR(TRIM(Music!A107)="", TRIM(Music!B107)=""),"","{ 'freq':"&amp;Music!A107&amp;", 'duration':"&amp;Music!B107&amp;"},")</f>
        <v/>
      </c>
    </row>
    <row r="108" spans="1:1" x14ac:dyDescent="0.25">
      <c r="A108" t="str">
        <f>IF(OR(TRIM(Music!A108)="", TRIM(Music!B108)=""),"","{ 'freq':"&amp;Music!A108&amp;", 'duration':"&amp;Music!B108&amp;"},")</f>
        <v/>
      </c>
    </row>
    <row r="109" spans="1:1" x14ac:dyDescent="0.25">
      <c r="A109" t="str">
        <f>IF(OR(TRIM(Music!A109)="", TRIM(Music!B109)=""),"","{ 'freq':"&amp;Music!A109&amp;", 'duration':"&amp;Music!B109&amp;"},")</f>
        <v/>
      </c>
    </row>
    <row r="110" spans="1:1" x14ac:dyDescent="0.25">
      <c r="A110" t="str">
        <f>IF(OR(TRIM(Music!A110)="", TRIM(Music!B110)=""),"","{ 'freq':"&amp;Music!A110&amp;", 'duration':"&amp;Music!B110&amp;"},")</f>
        <v/>
      </c>
    </row>
    <row r="111" spans="1:1" x14ac:dyDescent="0.25">
      <c r="A111" t="str">
        <f>IF(OR(TRIM(Music!A111)="", TRIM(Music!B111)=""),"","{ 'freq':"&amp;Music!A111&amp;", 'duration':"&amp;Music!B111&amp;"},")</f>
        <v/>
      </c>
    </row>
    <row r="112" spans="1:1" x14ac:dyDescent="0.25">
      <c r="A112" t="str">
        <f>IF(OR(TRIM(Music!A112)="", TRIM(Music!B112)=""),"","{ 'freq':"&amp;Music!A112&amp;", 'duration':"&amp;Music!B112&amp;"},")</f>
        <v/>
      </c>
    </row>
    <row r="113" spans="1:1" x14ac:dyDescent="0.25">
      <c r="A113" t="str">
        <f>IF(OR(TRIM(Music!A113)="", TRIM(Music!B113)=""),"","{ 'freq':"&amp;Music!A113&amp;", 'duration':"&amp;Music!B113&amp;"},")</f>
        <v/>
      </c>
    </row>
    <row r="114" spans="1:1" x14ac:dyDescent="0.25">
      <c r="A114" t="str">
        <f>IF(OR(TRIM(Music!A114)="", TRIM(Music!B114)=""),"","{ 'freq':"&amp;Music!A114&amp;", 'duration':"&amp;Music!B114&amp;"},")</f>
        <v/>
      </c>
    </row>
    <row r="115" spans="1:1" x14ac:dyDescent="0.25">
      <c r="A115" t="str">
        <f>IF(OR(TRIM(Music!A115)="", TRIM(Music!B115)=""),"","{ 'freq':"&amp;Music!A115&amp;", 'duration':"&amp;Music!B115&amp;"},")</f>
        <v/>
      </c>
    </row>
    <row r="116" spans="1:1" x14ac:dyDescent="0.25">
      <c r="A116" t="str">
        <f>IF(OR(TRIM(Music!A116)="", TRIM(Music!B116)=""),"","{ 'freq':"&amp;Music!A116&amp;", 'duration':"&amp;Music!B116&amp;"},")</f>
        <v/>
      </c>
    </row>
    <row r="117" spans="1:1" x14ac:dyDescent="0.25">
      <c r="A117" t="str">
        <f>IF(OR(TRIM(Music!A117)="", TRIM(Music!B117)=""),"","{ 'freq':"&amp;Music!A117&amp;", 'duration':"&amp;Music!B117&amp;"},")</f>
        <v/>
      </c>
    </row>
    <row r="118" spans="1:1" x14ac:dyDescent="0.25">
      <c r="A118" t="str">
        <f>IF(OR(TRIM(Music!A118)="", TRIM(Music!B118)=""),"","{ 'freq':"&amp;Music!A118&amp;", 'duration':"&amp;Music!B118&amp;"},")</f>
        <v/>
      </c>
    </row>
    <row r="119" spans="1:1" x14ac:dyDescent="0.25">
      <c r="A119" t="str">
        <f>IF(OR(TRIM(Music!A119)="", TRIM(Music!B119)=""),"","{ 'freq':"&amp;Music!A119&amp;", 'duration':"&amp;Music!B119&amp;"},")</f>
        <v/>
      </c>
    </row>
    <row r="120" spans="1:1" x14ac:dyDescent="0.25">
      <c r="A120" t="str">
        <f>IF(OR(TRIM(Music!A120)="", TRIM(Music!B120)=""),"","{ 'freq':"&amp;Music!A120&amp;", 'duration':"&amp;Music!B120&amp;"},")</f>
        <v/>
      </c>
    </row>
    <row r="121" spans="1:1" x14ac:dyDescent="0.25">
      <c r="A121" t="str">
        <f>IF(OR(TRIM(Music!A121)="", TRIM(Music!B121)=""),"","{ 'freq':"&amp;Music!A121&amp;", 'duration':"&amp;Music!B121&amp;"},")</f>
        <v/>
      </c>
    </row>
    <row r="122" spans="1:1" x14ac:dyDescent="0.25">
      <c r="A122" t="str">
        <f>IF(OR(TRIM(Music!A122)="", TRIM(Music!B122)=""),"","{ 'freq':"&amp;Music!A122&amp;", 'duration':"&amp;Music!B122&amp;"},")</f>
        <v/>
      </c>
    </row>
    <row r="123" spans="1:1" x14ac:dyDescent="0.25">
      <c r="A123" t="str">
        <f>IF(OR(TRIM(Music!A123)="", TRIM(Music!B123)=""),"","{ 'freq':"&amp;Music!A123&amp;", 'duration':"&amp;Music!B123&amp;"},")</f>
        <v/>
      </c>
    </row>
    <row r="124" spans="1:1" x14ac:dyDescent="0.25">
      <c r="A124" t="str">
        <f>IF(OR(TRIM(Music!A124)="", TRIM(Music!B124)=""),"","{ 'freq':"&amp;Music!A124&amp;", 'duration':"&amp;Music!B124&amp;"},")</f>
        <v/>
      </c>
    </row>
    <row r="125" spans="1:1" x14ac:dyDescent="0.25">
      <c r="A125" t="str">
        <f>IF(OR(TRIM(Music!A125)="", TRIM(Music!B125)=""),"","{ 'freq':"&amp;Music!A125&amp;", 'duration':"&amp;Music!B125&amp;"},")</f>
        <v/>
      </c>
    </row>
    <row r="126" spans="1:1" x14ac:dyDescent="0.25">
      <c r="A126" t="str">
        <f>IF(OR(TRIM(Music!A126)="", TRIM(Music!B126)=""),"","{ 'freq':"&amp;Music!A126&amp;", 'duration':"&amp;Music!B126&amp;"},")</f>
        <v/>
      </c>
    </row>
    <row r="127" spans="1:1" x14ac:dyDescent="0.25">
      <c r="A127" t="str">
        <f>IF(OR(TRIM(Music!A127)="", TRIM(Music!B127)=""),"","{ 'freq':"&amp;Music!A127&amp;", 'duration':"&amp;Music!B127&amp;"},")</f>
        <v/>
      </c>
    </row>
    <row r="128" spans="1:1" x14ac:dyDescent="0.25">
      <c r="A128" t="str">
        <f>IF(OR(TRIM(Music!A128)="", TRIM(Music!B128)=""),"","{ 'freq':"&amp;Music!A128&amp;", 'duration':"&amp;Music!B128&amp;"},")</f>
        <v/>
      </c>
    </row>
    <row r="129" spans="1:1" x14ac:dyDescent="0.25">
      <c r="A129" t="str">
        <f>IF(OR(TRIM(Music!A129)="", TRIM(Music!B129)=""),"","{ 'freq':"&amp;Music!A129&amp;", 'duration':"&amp;Music!B129&amp;"},")</f>
        <v/>
      </c>
    </row>
    <row r="130" spans="1:1" x14ac:dyDescent="0.25">
      <c r="A130" t="str">
        <f>IF(OR(TRIM(Music!A130)="", TRIM(Music!B130)=""),"","{ 'freq':"&amp;Music!A130&amp;", 'duration':"&amp;Music!B130&amp;"},")</f>
        <v/>
      </c>
    </row>
    <row r="131" spans="1:1" x14ac:dyDescent="0.25">
      <c r="A131" t="str">
        <f>IF(OR(TRIM(Music!A131)="", TRIM(Music!B131)=""),"","{ 'freq':"&amp;Music!A131&amp;", 'duration':"&amp;Music!B131&amp;"},")</f>
        <v/>
      </c>
    </row>
    <row r="132" spans="1:1" x14ac:dyDescent="0.25">
      <c r="A132" t="str">
        <f>IF(OR(TRIM(Music!A132)="", TRIM(Music!B132)=""),"","{ 'freq':"&amp;Music!A132&amp;", 'duration':"&amp;Music!B132&amp;"},")</f>
        <v/>
      </c>
    </row>
    <row r="133" spans="1:1" x14ac:dyDescent="0.25">
      <c r="A133" t="str">
        <f>IF(OR(TRIM(Music!A133)="", TRIM(Music!B133)=""),"","{ 'freq':"&amp;Music!A133&amp;", 'duration':"&amp;Music!B133&amp;"},")</f>
        <v/>
      </c>
    </row>
    <row r="134" spans="1:1" x14ac:dyDescent="0.25">
      <c r="A134" t="str">
        <f>IF(OR(TRIM(Music!A134)="", TRIM(Music!B134)=""),"","{ 'freq':"&amp;Music!A134&amp;", 'duration':"&amp;Music!B134&amp;"},")</f>
        <v/>
      </c>
    </row>
    <row r="135" spans="1:1" x14ac:dyDescent="0.25">
      <c r="A135" t="str">
        <f>IF(OR(TRIM(Music!A135)="", TRIM(Music!B135)=""),"","{ 'freq':"&amp;Music!A135&amp;", 'duration':"&amp;Music!B135&amp;"},")</f>
        <v/>
      </c>
    </row>
    <row r="136" spans="1:1" x14ac:dyDescent="0.25">
      <c r="A136" t="str">
        <f>IF(OR(TRIM(Music!A136)="", TRIM(Music!B136)=""),"","{ 'freq':"&amp;Music!A136&amp;", 'duration':"&amp;Music!B136&amp;"},")</f>
        <v/>
      </c>
    </row>
    <row r="137" spans="1:1" x14ac:dyDescent="0.25">
      <c r="A137" t="str">
        <f>IF(OR(TRIM(Music!A137)="", TRIM(Music!B137)=""),"","{ 'freq':"&amp;Music!A137&amp;", 'duration':"&amp;Music!B137&amp;"},")</f>
        <v/>
      </c>
    </row>
    <row r="138" spans="1:1" x14ac:dyDescent="0.25">
      <c r="A138" t="str">
        <f>IF(OR(TRIM(Music!A138)="", TRIM(Music!B138)=""),"","{ 'freq':"&amp;Music!A138&amp;", 'duration':"&amp;Music!B138&amp;"},")</f>
        <v/>
      </c>
    </row>
    <row r="139" spans="1:1" x14ac:dyDescent="0.25">
      <c r="A139" t="str">
        <f>IF(OR(TRIM(Music!A139)="", TRIM(Music!B139)=""),"","{ 'freq':"&amp;Music!A139&amp;", 'duration':"&amp;Music!B139&amp;"},")</f>
        <v/>
      </c>
    </row>
    <row r="140" spans="1:1" x14ac:dyDescent="0.25">
      <c r="A140" t="str">
        <f>IF(OR(TRIM(Music!A140)="", TRIM(Music!B140)=""),"","{ 'freq':"&amp;Music!A140&amp;", 'duration':"&amp;Music!B140&amp;"},")</f>
        <v/>
      </c>
    </row>
    <row r="141" spans="1:1" x14ac:dyDescent="0.25">
      <c r="A141" t="str">
        <f>IF(OR(TRIM(Music!A141)="", TRIM(Music!B141)=""),"","{ 'freq':"&amp;Music!A141&amp;", 'duration':"&amp;Music!B141&amp;"},")</f>
        <v/>
      </c>
    </row>
    <row r="142" spans="1:1" x14ac:dyDescent="0.25">
      <c r="A142" t="str">
        <f>IF(OR(TRIM(Music!A142)="", TRIM(Music!B142)=""),"","{ 'freq':"&amp;Music!A142&amp;", 'duration':"&amp;Music!B142&amp;"},")</f>
        <v/>
      </c>
    </row>
    <row r="143" spans="1:1" x14ac:dyDescent="0.25">
      <c r="A143" t="str">
        <f>IF(OR(TRIM(Music!A143)="", TRIM(Music!B143)=""),"","{ 'freq':"&amp;Music!A143&amp;", 'duration':"&amp;Music!B143&amp;"},")</f>
        <v/>
      </c>
    </row>
    <row r="144" spans="1:1" x14ac:dyDescent="0.25">
      <c r="A144" t="str">
        <f>IF(OR(TRIM(Music!A144)="", TRIM(Music!B144)=""),"","{ 'freq':"&amp;Music!A144&amp;", 'duration':"&amp;Music!B144&amp;"},")</f>
        <v/>
      </c>
    </row>
    <row r="145" spans="1:1" x14ac:dyDescent="0.25">
      <c r="A145" t="str">
        <f>IF(OR(TRIM(Music!A145)="", TRIM(Music!B145)=""),"","{ 'freq':"&amp;Music!A145&amp;", 'duration':"&amp;Music!B145&amp;"},")</f>
        <v/>
      </c>
    </row>
    <row r="146" spans="1:1" x14ac:dyDescent="0.25">
      <c r="A146" t="str">
        <f>IF(OR(TRIM(Music!A146)="", TRIM(Music!B146)=""),"","{ 'freq':"&amp;Music!A146&amp;", 'duration':"&amp;Music!B146&amp;"},")</f>
        <v/>
      </c>
    </row>
    <row r="147" spans="1:1" x14ac:dyDescent="0.25">
      <c r="A147" t="str">
        <f>IF(OR(TRIM(Music!A147)="", TRIM(Music!B147)=""),"","{ 'freq':"&amp;Music!A147&amp;", 'duration':"&amp;Music!B147&amp;"},")</f>
        <v/>
      </c>
    </row>
    <row r="148" spans="1:1" x14ac:dyDescent="0.25">
      <c r="A148" t="str">
        <f>IF(OR(TRIM(Music!A148)="", TRIM(Music!B148)=""),"","{ 'freq':"&amp;Music!A148&amp;", 'duration':"&amp;Music!B148&amp;"},")</f>
        <v/>
      </c>
    </row>
    <row r="149" spans="1:1" x14ac:dyDescent="0.25">
      <c r="A149" t="str">
        <f>IF(OR(TRIM(Music!A149)="", TRIM(Music!B149)=""),"","{ 'freq':"&amp;Music!A149&amp;", 'duration':"&amp;Music!B149&amp;"},")</f>
        <v/>
      </c>
    </row>
    <row r="150" spans="1:1" x14ac:dyDescent="0.25">
      <c r="A150" t="str">
        <f>IF(OR(TRIM(Music!A150)="", TRIM(Music!B150)=""),"","{ 'freq':"&amp;Music!A150&amp;", 'duration':"&amp;Music!B150&amp;"},")</f>
        <v/>
      </c>
    </row>
    <row r="151" spans="1:1" x14ac:dyDescent="0.25">
      <c r="A151" t="str">
        <f>IF(OR(TRIM(Music!A151)="", TRIM(Music!B151)=""),"","{ 'freq':"&amp;Music!A151&amp;", 'duration':"&amp;Music!B151&amp;"},")</f>
        <v/>
      </c>
    </row>
    <row r="152" spans="1:1" x14ac:dyDescent="0.25">
      <c r="A152" t="str">
        <f>IF(OR(TRIM(Music!A152)="", TRIM(Music!B152)=""),"","{ 'freq':"&amp;Music!A152&amp;", 'duration':"&amp;Music!B152&amp;"},")</f>
        <v/>
      </c>
    </row>
    <row r="153" spans="1:1" x14ac:dyDescent="0.25">
      <c r="A153" t="str">
        <f>IF(OR(TRIM(Music!A153)="", TRIM(Music!B153)=""),"","{ 'freq':"&amp;Music!A153&amp;", 'duration':"&amp;Music!B153&amp;"},")</f>
        <v/>
      </c>
    </row>
    <row r="154" spans="1:1" x14ac:dyDescent="0.25">
      <c r="A154" t="str">
        <f>IF(OR(TRIM(Music!A154)="", TRIM(Music!B154)=""),"","{ 'freq':"&amp;Music!A154&amp;", 'duration':"&amp;Music!B154&amp;"},")</f>
        <v/>
      </c>
    </row>
    <row r="155" spans="1:1" x14ac:dyDescent="0.25">
      <c r="A155" t="str">
        <f>IF(OR(TRIM(Music!A155)="", TRIM(Music!B155)=""),"","{ 'freq':"&amp;Music!A155&amp;", 'duration':"&amp;Music!B155&amp;"},")</f>
        <v/>
      </c>
    </row>
    <row r="156" spans="1:1" x14ac:dyDescent="0.25">
      <c r="A156" t="str">
        <f>IF(OR(TRIM(Music!A156)="", TRIM(Music!B156)=""),"","{ 'freq':"&amp;Music!A156&amp;", 'duration':"&amp;Music!B156&amp;"},")</f>
        <v/>
      </c>
    </row>
    <row r="157" spans="1:1" x14ac:dyDescent="0.25">
      <c r="A157" t="str">
        <f>IF(OR(TRIM(Music!A157)="", TRIM(Music!B157)=""),"","{ 'freq':"&amp;Music!A157&amp;", 'duration':"&amp;Music!B157&amp;"},")</f>
        <v/>
      </c>
    </row>
    <row r="158" spans="1:1" x14ac:dyDescent="0.25">
      <c r="A158" t="str">
        <f>IF(OR(TRIM(Music!A158)="", TRIM(Music!B158)=""),"","{ 'freq':"&amp;Music!A158&amp;", 'duration':"&amp;Music!B158&amp;"},")</f>
        <v/>
      </c>
    </row>
    <row r="159" spans="1:1" x14ac:dyDescent="0.25">
      <c r="A159" t="str">
        <f>IF(OR(TRIM(Music!A159)="", TRIM(Music!B159)=""),"","{ 'freq':"&amp;Music!A159&amp;", 'duration':"&amp;Music!B159&amp;"},")</f>
        <v/>
      </c>
    </row>
    <row r="160" spans="1:1" x14ac:dyDescent="0.25">
      <c r="A160" t="str">
        <f>IF(OR(TRIM(Music!A160)="", TRIM(Music!B160)=""),"","{ 'freq':"&amp;Music!A160&amp;", 'duration':"&amp;Music!B160&amp;"},")</f>
        <v/>
      </c>
    </row>
    <row r="161" spans="1:1" x14ac:dyDescent="0.25">
      <c r="A161" t="str">
        <f>IF(OR(TRIM(Music!A161)="", TRIM(Music!B161)=""),"","{ 'freq':"&amp;Music!A161&amp;", 'duration':"&amp;Music!B161&amp;"},")</f>
        <v/>
      </c>
    </row>
    <row r="162" spans="1:1" x14ac:dyDescent="0.25">
      <c r="A162" t="str">
        <f>IF(OR(TRIM(Music!A162)="", TRIM(Music!B162)=""),"","{ 'freq':"&amp;Music!A162&amp;", 'duration':"&amp;Music!B162&amp;"},")</f>
        <v/>
      </c>
    </row>
    <row r="163" spans="1:1" x14ac:dyDescent="0.25">
      <c r="A163" t="str">
        <f>IF(OR(TRIM(Music!A163)="", TRIM(Music!B163)=""),"","{ 'freq':"&amp;Music!A163&amp;", 'duration':"&amp;Music!B163&amp;"},")</f>
        <v/>
      </c>
    </row>
    <row r="164" spans="1:1" x14ac:dyDescent="0.25">
      <c r="A164" t="str">
        <f>IF(OR(TRIM(Music!A164)="", TRIM(Music!B164)=""),"","{ 'freq':"&amp;Music!A164&amp;", 'duration':"&amp;Music!B164&amp;"},")</f>
        <v/>
      </c>
    </row>
    <row r="165" spans="1:1" x14ac:dyDescent="0.25">
      <c r="A165" t="str">
        <f>IF(OR(TRIM(Music!A165)="", TRIM(Music!B165)=""),"","{ 'freq':"&amp;Music!A165&amp;", 'duration':"&amp;Music!B165&amp;"},")</f>
        <v/>
      </c>
    </row>
    <row r="166" spans="1:1" x14ac:dyDescent="0.25">
      <c r="A166" t="str">
        <f>IF(OR(TRIM(Music!A166)="", TRIM(Music!B166)=""),"","{ 'freq':"&amp;Music!A166&amp;", 'duration':"&amp;Music!B166&amp;"},")</f>
        <v/>
      </c>
    </row>
    <row r="167" spans="1:1" x14ac:dyDescent="0.25">
      <c r="A167" t="str">
        <f>IF(OR(TRIM(Music!A167)="", TRIM(Music!B167)=""),"","{ 'freq':"&amp;Music!A167&amp;", 'duration':"&amp;Music!B167&amp;"},")</f>
        <v/>
      </c>
    </row>
    <row r="168" spans="1:1" x14ac:dyDescent="0.25">
      <c r="A168" t="str">
        <f>IF(OR(TRIM(Music!A168)="", TRIM(Music!B168)=""),"","{ 'freq':"&amp;Music!A168&amp;", 'duration':"&amp;Music!B168&amp;"},")</f>
        <v/>
      </c>
    </row>
    <row r="169" spans="1:1" x14ac:dyDescent="0.25">
      <c r="A169" t="str">
        <f>IF(OR(TRIM(Music!A169)="", TRIM(Music!B169)=""),"","{ 'freq':"&amp;Music!A169&amp;", 'duration':"&amp;Music!B169&amp;"},")</f>
        <v/>
      </c>
    </row>
    <row r="170" spans="1:1" x14ac:dyDescent="0.25">
      <c r="A170" t="str">
        <f>IF(OR(TRIM(Music!A170)="", TRIM(Music!B170)=""),"","{ 'freq':"&amp;Music!A170&amp;", 'duration':"&amp;Music!B170&amp;"},")</f>
        <v/>
      </c>
    </row>
    <row r="171" spans="1:1" x14ac:dyDescent="0.25">
      <c r="A171" t="str">
        <f>IF(OR(TRIM(Music!A171)="", TRIM(Music!B171)=""),"","{ 'freq':"&amp;Music!A171&amp;", 'duration':"&amp;Music!B171&amp;"},")</f>
        <v/>
      </c>
    </row>
    <row r="172" spans="1:1" x14ac:dyDescent="0.25">
      <c r="A172" t="str">
        <f>IF(OR(TRIM(Music!A172)="", TRIM(Music!B172)=""),"","{ 'freq':"&amp;Music!A172&amp;", 'duration':"&amp;Music!B172&amp;"},")</f>
        <v/>
      </c>
    </row>
    <row r="173" spans="1:1" x14ac:dyDescent="0.25">
      <c r="A173" t="str">
        <f>IF(OR(TRIM(Music!A173)="", TRIM(Music!B173)=""),"","{ 'freq':"&amp;Music!A173&amp;", 'duration':"&amp;Music!B173&amp;"},")</f>
        <v/>
      </c>
    </row>
    <row r="174" spans="1:1" x14ac:dyDescent="0.25">
      <c r="A174" t="str">
        <f>IF(OR(TRIM(Music!A174)="", TRIM(Music!B174)=""),"","{ 'freq':"&amp;Music!A174&amp;", 'duration':"&amp;Music!B174&amp;"},")</f>
        <v/>
      </c>
    </row>
    <row r="175" spans="1:1" x14ac:dyDescent="0.25">
      <c r="A175" t="str">
        <f>IF(OR(TRIM(Music!A175)="", TRIM(Music!B175)=""),"","{ 'freq':"&amp;Music!A175&amp;", 'duration':"&amp;Music!B175&amp;"},")</f>
        <v/>
      </c>
    </row>
    <row r="176" spans="1:1" x14ac:dyDescent="0.25">
      <c r="A176" t="str">
        <f>IF(OR(TRIM(Music!A176)="", TRIM(Music!B176)=""),"","{ 'freq':"&amp;Music!A176&amp;", 'duration':"&amp;Music!B176&amp;"},")</f>
        <v/>
      </c>
    </row>
    <row r="177" spans="1:1" x14ac:dyDescent="0.25">
      <c r="A177" t="str">
        <f>IF(OR(TRIM(Music!A177)="", TRIM(Music!B177)=""),"","{ 'freq':"&amp;Music!A177&amp;", 'duration':"&amp;Music!B177&amp;"},")</f>
        <v/>
      </c>
    </row>
    <row r="178" spans="1:1" x14ac:dyDescent="0.25">
      <c r="A178" t="str">
        <f>IF(OR(TRIM(Music!A178)="", TRIM(Music!B178)=""),"","{ 'freq':"&amp;Music!A178&amp;", 'duration':"&amp;Music!B178&amp;"},")</f>
        <v/>
      </c>
    </row>
    <row r="179" spans="1:1" x14ac:dyDescent="0.25">
      <c r="A179" t="str">
        <f>IF(OR(TRIM(Music!A179)="", TRIM(Music!B179)=""),"","{ 'freq':"&amp;Music!A179&amp;", 'duration':"&amp;Music!B179&amp;"},")</f>
        <v/>
      </c>
    </row>
    <row r="180" spans="1:1" x14ac:dyDescent="0.25">
      <c r="A180" t="str">
        <f>IF(OR(TRIM(Music!A180)="", TRIM(Music!B180)=""),"","{ 'freq':"&amp;Music!A180&amp;", 'duration':"&amp;Music!B180&amp;"},")</f>
        <v/>
      </c>
    </row>
    <row r="181" spans="1:1" x14ac:dyDescent="0.25">
      <c r="A181" t="str">
        <f>IF(OR(TRIM(Music!A181)="", TRIM(Music!B181)=""),"","{ 'freq':"&amp;Music!A181&amp;", 'duration':"&amp;Music!B181&amp;"},")</f>
        <v/>
      </c>
    </row>
    <row r="182" spans="1:1" x14ac:dyDescent="0.25">
      <c r="A182" t="str">
        <f>IF(OR(TRIM(Music!A182)="", TRIM(Music!B182)=""),"","{ 'freq':"&amp;Music!A182&amp;", 'duration':"&amp;Music!B182&amp;"},")</f>
        <v/>
      </c>
    </row>
    <row r="183" spans="1:1" x14ac:dyDescent="0.25">
      <c r="A183" t="str">
        <f>IF(OR(TRIM(Music!A183)="", TRIM(Music!B183)=""),"","{ 'freq':"&amp;Music!A183&amp;", 'duration':"&amp;Music!B183&amp;"},")</f>
        <v/>
      </c>
    </row>
    <row r="184" spans="1:1" x14ac:dyDescent="0.25">
      <c r="A184" t="str">
        <f>IF(OR(TRIM(Music!A184)="", TRIM(Music!B184)=""),"","{ 'freq':"&amp;Music!A184&amp;", 'duration':"&amp;Music!B184&amp;"},")</f>
        <v/>
      </c>
    </row>
    <row r="185" spans="1:1" x14ac:dyDescent="0.25">
      <c r="A185" t="str">
        <f>IF(OR(TRIM(Music!A185)="", TRIM(Music!B185)=""),"","{ 'freq':"&amp;Music!A185&amp;", 'duration':"&amp;Music!B185&amp;"},")</f>
        <v/>
      </c>
    </row>
    <row r="186" spans="1:1" x14ac:dyDescent="0.25">
      <c r="A186" t="str">
        <f>IF(OR(TRIM(Music!A186)="", TRIM(Music!B186)=""),"","{ 'freq':"&amp;Music!A186&amp;", 'duration':"&amp;Music!B186&amp;"},")</f>
        <v/>
      </c>
    </row>
    <row r="187" spans="1:1" x14ac:dyDescent="0.25">
      <c r="A187" t="str">
        <f>IF(OR(TRIM(Music!A187)="", TRIM(Music!B187)=""),"","{ 'freq':"&amp;Music!A187&amp;", 'duration':"&amp;Music!B187&amp;"},")</f>
        <v/>
      </c>
    </row>
    <row r="188" spans="1:1" x14ac:dyDescent="0.25">
      <c r="A188" t="str">
        <f>IF(OR(TRIM(Music!A188)="", TRIM(Music!B188)=""),"","{ 'freq':"&amp;Music!A188&amp;", 'duration':"&amp;Music!B188&amp;"},")</f>
        <v/>
      </c>
    </row>
    <row r="189" spans="1:1" x14ac:dyDescent="0.25">
      <c r="A189" t="str">
        <f>IF(OR(TRIM(Music!A189)="", TRIM(Music!B189)=""),"","{ 'freq':"&amp;Music!A189&amp;", 'duration':"&amp;Music!B189&amp;"},")</f>
        <v/>
      </c>
    </row>
    <row r="190" spans="1:1" x14ac:dyDescent="0.25">
      <c r="A190" t="str">
        <f>IF(OR(TRIM(Music!A190)="", TRIM(Music!B190)=""),"","{ 'freq':"&amp;Music!A190&amp;", 'duration':"&amp;Music!B190&amp;"},")</f>
        <v/>
      </c>
    </row>
    <row r="191" spans="1:1" x14ac:dyDescent="0.25">
      <c r="A191" t="str">
        <f>IF(OR(TRIM(Music!A191)="", TRIM(Music!B191)=""),"","{ 'freq':"&amp;Music!A191&amp;", 'duration':"&amp;Music!B191&amp;"},")</f>
        <v/>
      </c>
    </row>
    <row r="192" spans="1:1" x14ac:dyDescent="0.25">
      <c r="A192" t="str">
        <f>IF(OR(TRIM(Music!A192)="", TRIM(Music!B192)=""),"","{ 'freq':"&amp;Music!A192&amp;", 'duration':"&amp;Music!B192&amp;"},")</f>
        <v/>
      </c>
    </row>
    <row r="193" spans="1:1" x14ac:dyDescent="0.25">
      <c r="A193" t="str">
        <f>IF(OR(TRIM(Music!A193)="", TRIM(Music!B193)=""),"","{ 'freq':"&amp;Music!A193&amp;", 'duration':"&amp;Music!B193&amp;"},")</f>
        <v/>
      </c>
    </row>
    <row r="194" spans="1:1" x14ac:dyDescent="0.25">
      <c r="A194" t="str">
        <f>IF(OR(TRIM(Music!A194)="", TRIM(Music!B194)=""),"","{ 'freq':"&amp;Music!A194&amp;", 'duration':"&amp;Music!B194&amp;"},")</f>
        <v/>
      </c>
    </row>
    <row r="195" spans="1:1" x14ac:dyDescent="0.25">
      <c r="A195" t="str">
        <f>IF(OR(TRIM(Music!A195)="", TRIM(Music!B195)=""),"","{ 'freq':"&amp;Music!A195&amp;", 'duration':"&amp;Music!B195&amp;"},")</f>
        <v/>
      </c>
    </row>
    <row r="196" spans="1:1" x14ac:dyDescent="0.25">
      <c r="A196" t="str">
        <f>IF(OR(TRIM(Music!A196)="", TRIM(Music!B196)=""),"","{ 'freq':"&amp;Music!A196&amp;", 'duration':"&amp;Music!B196&amp;"},")</f>
        <v/>
      </c>
    </row>
    <row r="197" spans="1:1" x14ac:dyDescent="0.25">
      <c r="A197" t="str">
        <f>IF(OR(TRIM(Music!A197)="", TRIM(Music!B197)=""),"","{ 'freq':"&amp;Music!A197&amp;", 'duration':"&amp;Music!B197&amp;"},")</f>
        <v/>
      </c>
    </row>
    <row r="198" spans="1:1" x14ac:dyDescent="0.25">
      <c r="A198" t="str">
        <f>IF(OR(TRIM(Music!A198)="", TRIM(Music!B198)=""),"","{ 'freq':"&amp;Music!A198&amp;", 'duration':"&amp;Music!B198&amp;"},")</f>
        <v/>
      </c>
    </row>
    <row r="199" spans="1:1" x14ac:dyDescent="0.25">
      <c r="A199" t="str">
        <f>IF(OR(TRIM(Music!A199)="", TRIM(Music!B199)=""),"","{ 'freq':"&amp;Music!A199&amp;", 'duration':"&amp;Music!B199&amp;"},")</f>
        <v/>
      </c>
    </row>
    <row r="200" spans="1:1" x14ac:dyDescent="0.25">
      <c r="A200" t="str">
        <f>IF(OR(TRIM(Music!A200)="", TRIM(Music!B200)=""),"","{ 'freq':"&amp;Music!A200&amp;", 'duration':"&amp;Music!B200&amp;"},")</f>
        <v/>
      </c>
    </row>
    <row r="201" spans="1:1" x14ac:dyDescent="0.25">
      <c r="A201" t="str">
        <f>IF(OR(TRIM(Music!A201)="", TRIM(Music!B201)=""),"","{ 'freq':"&amp;Music!A201&amp;", 'duration':"&amp;Music!B201&amp;"},")</f>
        <v/>
      </c>
    </row>
    <row r="202" spans="1:1" x14ac:dyDescent="0.25">
      <c r="A202" t="str">
        <f>IF(OR(TRIM(Music!A202)="", TRIM(Music!B202)=""),"","{ 'freq':"&amp;Music!A202&amp;", 'duration':"&amp;Music!B202&amp;"},")</f>
        <v/>
      </c>
    </row>
    <row r="203" spans="1:1" x14ac:dyDescent="0.25">
      <c r="A203" t="str">
        <f>IF(OR(TRIM(Music!A203)="", TRIM(Music!B203)=""),"","{ 'freq':"&amp;Music!A203&amp;", 'duration':"&amp;Music!B203&amp;"},")</f>
        <v/>
      </c>
    </row>
    <row r="204" spans="1:1" x14ac:dyDescent="0.25">
      <c r="A204" t="str">
        <f>IF(OR(TRIM(Music!A204)="", TRIM(Music!B204)=""),"","{ 'freq':"&amp;Music!A204&amp;", 'duration':"&amp;Music!B204&amp;"},")</f>
        <v/>
      </c>
    </row>
    <row r="205" spans="1:1" x14ac:dyDescent="0.25">
      <c r="A205" t="str">
        <f>IF(OR(TRIM(Music!A205)="", TRIM(Music!B205)=""),"","{ 'freq':"&amp;Music!A205&amp;", 'duration':"&amp;Music!B205&amp;"},")</f>
        <v/>
      </c>
    </row>
    <row r="206" spans="1:1" x14ac:dyDescent="0.25">
      <c r="A206" t="str">
        <f>IF(OR(TRIM(Music!A206)="", TRIM(Music!B206)=""),"","{ 'freq':"&amp;Music!A206&amp;", 'duration':"&amp;Music!B206&amp;"},")</f>
        <v/>
      </c>
    </row>
    <row r="207" spans="1:1" x14ac:dyDescent="0.25">
      <c r="A207" t="str">
        <f>IF(OR(TRIM(Music!A207)="", TRIM(Music!B207)=""),"","{ 'freq':"&amp;Music!A207&amp;", 'duration':"&amp;Music!B207&amp;"},")</f>
        <v/>
      </c>
    </row>
    <row r="208" spans="1:1" x14ac:dyDescent="0.25">
      <c r="A208" t="str">
        <f>IF(OR(TRIM(Music!A208)="", TRIM(Music!B208)=""),"","{ 'freq':"&amp;Music!A208&amp;", 'duration':"&amp;Music!B208&amp;"},")</f>
        <v/>
      </c>
    </row>
    <row r="209" spans="1:1" x14ac:dyDescent="0.25">
      <c r="A209" t="str">
        <f>IF(OR(TRIM(Music!A209)="", TRIM(Music!B209)=""),"","{ 'freq':"&amp;Music!A209&amp;", 'duration':"&amp;Music!B209&amp;"},")</f>
        <v/>
      </c>
    </row>
    <row r="210" spans="1:1" x14ac:dyDescent="0.25">
      <c r="A210" t="str">
        <f>IF(OR(TRIM(Music!A210)="", TRIM(Music!B210)=""),"","{ 'freq':"&amp;Music!A210&amp;", 'duration':"&amp;Music!B210&amp;"},")</f>
        <v/>
      </c>
    </row>
    <row r="211" spans="1:1" x14ac:dyDescent="0.25">
      <c r="A211" t="str">
        <f>IF(OR(TRIM(Music!A211)="", TRIM(Music!B211)=""),"","{ 'freq':"&amp;Music!A211&amp;", 'duration':"&amp;Music!B211&amp;"},")</f>
        <v/>
      </c>
    </row>
    <row r="212" spans="1:1" x14ac:dyDescent="0.25">
      <c r="A212" t="str">
        <f>IF(OR(TRIM(Music!A212)="", TRIM(Music!B212)=""),"","{ 'freq':"&amp;Music!A212&amp;", 'duration':"&amp;Music!B212&amp;"},")</f>
        <v/>
      </c>
    </row>
    <row r="213" spans="1:1" x14ac:dyDescent="0.25">
      <c r="A213" t="str">
        <f>IF(OR(TRIM(Music!A213)="", TRIM(Music!B213)=""),"","{ 'freq':"&amp;Music!A213&amp;", 'duration':"&amp;Music!B213&amp;"},")</f>
        <v/>
      </c>
    </row>
    <row r="214" spans="1:1" x14ac:dyDescent="0.25">
      <c r="A214" t="str">
        <f>IF(OR(TRIM(Music!A214)="", TRIM(Music!B214)=""),"","{ 'freq':"&amp;Music!A214&amp;", 'duration':"&amp;Music!B214&amp;"},")</f>
        <v/>
      </c>
    </row>
    <row r="215" spans="1:1" x14ac:dyDescent="0.25">
      <c r="A215" t="str">
        <f>IF(OR(TRIM(Music!A215)="", TRIM(Music!B215)=""),"","{ 'freq':"&amp;Music!A215&amp;", 'duration':"&amp;Music!B215&amp;"},")</f>
        <v/>
      </c>
    </row>
    <row r="216" spans="1:1" x14ac:dyDescent="0.25">
      <c r="A216" t="str">
        <f>IF(OR(TRIM(Music!A216)="", TRIM(Music!B216)=""),"","{ 'freq':"&amp;Music!A216&amp;", 'duration':"&amp;Music!B216&amp;"},")</f>
        <v/>
      </c>
    </row>
    <row r="217" spans="1:1" x14ac:dyDescent="0.25">
      <c r="A217" t="str">
        <f>IF(OR(TRIM(Music!A217)="", TRIM(Music!B217)=""),"","{ 'freq':"&amp;Music!A217&amp;", 'duration':"&amp;Music!B217&amp;"},")</f>
        <v/>
      </c>
    </row>
    <row r="218" spans="1:1" x14ac:dyDescent="0.25">
      <c r="A218" t="str">
        <f>IF(OR(TRIM(Music!A218)="", TRIM(Music!B218)=""),"","{ 'freq':"&amp;Music!A218&amp;", 'duration':"&amp;Music!B218&amp;"},")</f>
        <v/>
      </c>
    </row>
    <row r="219" spans="1:1" x14ac:dyDescent="0.25">
      <c r="A219" t="str">
        <f>IF(OR(TRIM(Music!A219)="", TRIM(Music!B219)=""),"","{ 'freq':"&amp;Music!A219&amp;", 'duration':"&amp;Music!B219&amp;"},")</f>
        <v/>
      </c>
    </row>
    <row r="220" spans="1:1" x14ac:dyDescent="0.25">
      <c r="A220" t="str">
        <f>IF(OR(TRIM(Music!A220)="", TRIM(Music!B220)=""),"","{ 'freq':"&amp;Music!A220&amp;", 'duration':"&amp;Music!B220&amp;"},")</f>
        <v/>
      </c>
    </row>
    <row r="221" spans="1:1" x14ac:dyDescent="0.25">
      <c r="A221" t="str">
        <f>IF(OR(TRIM(Music!A221)="", TRIM(Music!B221)=""),"","{ 'freq':"&amp;Music!A221&amp;", 'duration':"&amp;Music!B221&amp;"},")</f>
        <v/>
      </c>
    </row>
    <row r="222" spans="1:1" x14ac:dyDescent="0.25">
      <c r="A222" t="str">
        <f>IF(OR(TRIM(Music!A222)="", TRIM(Music!B222)=""),"","{ 'freq':"&amp;Music!A222&amp;", 'duration':"&amp;Music!B222&amp;"},")</f>
        <v/>
      </c>
    </row>
    <row r="223" spans="1:1" x14ac:dyDescent="0.25">
      <c r="A223" t="str">
        <f>IF(OR(TRIM(Music!A223)="", TRIM(Music!B223)=""),"","{ 'freq':"&amp;Music!A223&amp;", 'duration':"&amp;Music!B223&amp;"},")</f>
        <v/>
      </c>
    </row>
    <row r="224" spans="1:1" x14ac:dyDescent="0.25">
      <c r="A224" t="str">
        <f>IF(OR(TRIM(Music!A224)="", TRIM(Music!B224)=""),"","{ 'freq':"&amp;Music!A224&amp;", 'duration':"&amp;Music!B224&amp;"},")</f>
        <v/>
      </c>
    </row>
    <row r="225" spans="1:1" x14ac:dyDescent="0.25">
      <c r="A225" t="str">
        <f>IF(OR(TRIM(Music!A225)="", TRIM(Music!B225)=""),"","{ 'freq':"&amp;Music!A225&amp;", 'duration':"&amp;Music!B225&amp;"},")</f>
        <v/>
      </c>
    </row>
    <row r="226" spans="1:1" x14ac:dyDescent="0.25">
      <c r="A226" t="str">
        <f>IF(OR(TRIM(Music!A226)="", TRIM(Music!B226)=""),"","{ 'freq':"&amp;Music!A226&amp;", 'duration':"&amp;Music!B226&amp;"},")</f>
        <v/>
      </c>
    </row>
    <row r="227" spans="1:1" x14ac:dyDescent="0.25">
      <c r="A227" t="str">
        <f>IF(OR(TRIM(Music!A227)="", TRIM(Music!B227)=""),"","{ 'freq':"&amp;Music!A227&amp;", 'duration':"&amp;Music!B227&amp;"},")</f>
        <v/>
      </c>
    </row>
    <row r="228" spans="1:1" x14ac:dyDescent="0.25">
      <c r="A228" t="str">
        <f>IF(OR(TRIM(Music!A228)="", TRIM(Music!B228)=""),"","{ 'freq':"&amp;Music!A228&amp;", 'duration':"&amp;Music!B228&amp;"},")</f>
        <v/>
      </c>
    </row>
    <row r="229" spans="1:1" x14ac:dyDescent="0.25">
      <c r="A229" t="str">
        <f>IF(OR(TRIM(Music!A229)="", TRIM(Music!B229)=""),"","{ 'freq':"&amp;Music!A229&amp;", 'duration':"&amp;Music!B229&amp;"},")</f>
        <v/>
      </c>
    </row>
    <row r="230" spans="1:1" x14ac:dyDescent="0.25">
      <c r="A230" t="str">
        <f>IF(OR(TRIM(Music!A230)="", TRIM(Music!B230)=""),"","{ 'freq':"&amp;Music!A230&amp;", 'duration':"&amp;Music!B230&amp;"},")</f>
        <v/>
      </c>
    </row>
    <row r="231" spans="1:1" x14ac:dyDescent="0.25">
      <c r="A231" t="str">
        <f>IF(OR(TRIM(Music!A231)="", TRIM(Music!B231)=""),"","{ 'freq':"&amp;Music!A231&amp;", 'duration':"&amp;Music!B231&amp;"},")</f>
        <v/>
      </c>
    </row>
    <row r="232" spans="1:1" x14ac:dyDescent="0.25">
      <c r="A232" t="str">
        <f>IF(OR(TRIM(Music!A232)="", TRIM(Music!B232)=""),"","{ 'freq':"&amp;Music!A232&amp;", 'duration':"&amp;Music!B232&amp;"},")</f>
        <v/>
      </c>
    </row>
    <row r="233" spans="1:1" x14ac:dyDescent="0.25">
      <c r="A233" t="str">
        <f>IF(OR(TRIM(Music!A233)="", TRIM(Music!B233)=""),"","{ 'freq':"&amp;Music!A233&amp;", 'duration':"&amp;Music!B233&amp;"},")</f>
        <v/>
      </c>
    </row>
    <row r="234" spans="1:1" x14ac:dyDescent="0.25">
      <c r="A234" t="str">
        <f>IF(OR(TRIM(Music!A234)="", TRIM(Music!B234)=""),"","{ 'freq':"&amp;Music!A234&amp;", 'duration':"&amp;Music!B234&amp;"},")</f>
        <v/>
      </c>
    </row>
    <row r="235" spans="1:1" x14ac:dyDescent="0.25">
      <c r="A235" t="str">
        <f>IF(OR(TRIM(Music!A235)="", TRIM(Music!B235)=""),"","{ 'freq':"&amp;Music!A235&amp;", 'duration':"&amp;Music!B235&amp;"},")</f>
        <v/>
      </c>
    </row>
    <row r="236" spans="1:1" x14ac:dyDescent="0.25">
      <c r="A236" t="str">
        <f>IF(OR(TRIM(Music!A236)="", TRIM(Music!B236)=""),"","{ 'freq':"&amp;Music!A236&amp;", 'duration':"&amp;Music!B236&amp;"},")</f>
        <v/>
      </c>
    </row>
    <row r="237" spans="1:1" x14ac:dyDescent="0.25">
      <c r="A237" t="str">
        <f>IF(OR(TRIM(Music!A237)="", TRIM(Music!B237)=""),"","{ 'freq':"&amp;Music!A237&amp;", 'duration':"&amp;Music!B237&amp;"},")</f>
        <v/>
      </c>
    </row>
    <row r="238" spans="1:1" x14ac:dyDescent="0.25">
      <c r="A238" t="str">
        <f>IF(OR(TRIM(Music!A238)="", TRIM(Music!B238)=""),"","{ 'freq':"&amp;Music!A238&amp;", 'duration':"&amp;Music!B238&amp;"},")</f>
        <v/>
      </c>
    </row>
    <row r="239" spans="1:1" x14ac:dyDescent="0.25">
      <c r="A239" t="str">
        <f>IF(OR(TRIM(Music!A239)="", TRIM(Music!B239)=""),"","{ 'freq':"&amp;Music!A239&amp;", 'duration':"&amp;Music!B239&amp;"},")</f>
        <v/>
      </c>
    </row>
    <row r="240" spans="1:1" x14ac:dyDescent="0.25">
      <c r="A240" t="str">
        <f>IF(OR(TRIM(Music!A240)="", TRIM(Music!B240)=""),"","{ 'freq':"&amp;Music!A240&amp;", 'duration':"&amp;Music!B240&amp;"},")</f>
        <v/>
      </c>
    </row>
    <row r="241" spans="1:1" x14ac:dyDescent="0.25">
      <c r="A241" t="str">
        <f>IF(OR(TRIM(Music!A241)="", TRIM(Music!B241)=""),"","{ 'freq':"&amp;Music!A241&amp;", 'duration':"&amp;Music!B241&amp;"},")</f>
        <v/>
      </c>
    </row>
    <row r="242" spans="1:1" x14ac:dyDescent="0.25">
      <c r="A242" t="str">
        <f>IF(OR(TRIM(Music!A242)="", TRIM(Music!B242)=""),"","{ 'freq':"&amp;Music!A242&amp;", 'duration':"&amp;Music!B242&amp;"},")</f>
        <v/>
      </c>
    </row>
    <row r="243" spans="1:1" x14ac:dyDescent="0.25">
      <c r="A243" t="str">
        <f>IF(OR(TRIM(Music!A243)="", TRIM(Music!B243)=""),"","{ 'freq':"&amp;Music!A243&amp;", 'duration':"&amp;Music!B243&amp;"},")</f>
        <v/>
      </c>
    </row>
    <row r="244" spans="1:1" x14ac:dyDescent="0.25">
      <c r="A244" t="str">
        <f>IF(OR(TRIM(Music!A244)="", TRIM(Music!B244)=""),"","{ 'freq':"&amp;Music!A244&amp;", 'duration':"&amp;Music!B244&amp;"},")</f>
        <v/>
      </c>
    </row>
    <row r="245" spans="1:1" x14ac:dyDescent="0.25">
      <c r="A245" t="str">
        <f>IF(OR(TRIM(Music!A245)="", TRIM(Music!B245)=""),"","{ 'freq':"&amp;Music!A245&amp;", 'duration':"&amp;Music!B245&amp;"},")</f>
        <v/>
      </c>
    </row>
    <row r="246" spans="1:1" x14ac:dyDescent="0.25">
      <c r="A246" t="str">
        <f>IF(OR(TRIM(Music!A246)="", TRIM(Music!B246)=""),"","{ 'freq':"&amp;Music!A246&amp;", 'duration':"&amp;Music!B246&amp;"},")</f>
        <v/>
      </c>
    </row>
    <row r="247" spans="1:1" x14ac:dyDescent="0.25">
      <c r="A247" t="str">
        <f>IF(OR(TRIM(Music!A247)="", TRIM(Music!B247)=""),"","{ 'freq':"&amp;Music!A247&amp;", 'duration':"&amp;Music!B247&amp;"},")</f>
        <v/>
      </c>
    </row>
    <row r="248" spans="1:1" x14ac:dyDescent="0.25">
      <c r="A248" t="str">
        <f>IF(OR(TRIM(Music!A248)="", TRIM(Music!B248)=""),"","{ 'freq':"&amp;Music!A248&amp;", 'duration':"&amp;Music!B248&amp;"},")</f>
        <v/>
      </c>
    </row>
    <row r="249" spans="1:1" x14ac:dyDescent="0.25">
      <c r="A249" t="str">
        <f>IF(OR(TRIM(Music!A249)="", TRIM(Music!B249)=""),"","{ 'freq':"&amp;Music!A249&amp;", 'duration':"&amp;Music!B249&amp;"},")</f>
        <v/>
      </c>
    </row>
    <row r="250" spans="1:1" x14ac:dyDescent="0.25">
      <c r="A250" t="str">
        <f>IF(OR(TRIM(Music!A250)="", TRIM(Music!B250)=""),"","{ 'freq':"&amp;Music!A250&amp;", 'duration':"&amp;Music!B250&amp;"},")</f>
        <v/>
      </c>
    </row>
    <row r="251" spans="1:1" x14ac:dyDescent="0.25">
      <c r="A251" t="str">
        <f>IF(OR(TRIM(Music!A251)="", TRIM(Music!B251)=""),"","{ 'freq':"&amp;Music!A251&amp;", 'duration':"&amp;Music!B251&amp;"},")</f>
        <v/>
      </c>
    </row>
    <row r="252" spans="1:1" x14ac:dyDescent="0.25">
      <c r="A252" t="str">
        <f>IF(OR(TRIM(Music!A252)="", TRIM(Music!B252)=""),"","{ 'freq':"&amp;Music!A252&amp;", 'duration':"&amp;Music!B252&amp;"},")</f>
        <v/>
      </c>
    </row>
    <row r="253" spans="1:1" x14ac:dyDescent="0.25">
      <c r="A253" t="str">
        <f>IF(OR(TRIM(Music!A253)="", TRIM(Music!B253)=""),"","{ 'freq':"&amp;Music!A253&amp;", 'duration':"&amp;Music!B253&amp;"},")</f>
        <v/>
      </c>
    </row>
    <row r="254" spans="1:1" x14ac:dyDescent="0.25">
      <c r="A254" t="str">
        <f>IF(OR(TRIM(Music!A254)="", TRIM(Music!B254)=""),"","{ 'freq':"&amp;Music!A254&amp;", 'duration':"&amp;Music!B254&amp;"},")</f>
        <v/>
      </c>
    </row>
    <row r="255" spans="1:1" x14ac:dyDescent="0.25">
      <c r="A255" t="str">
        <f>IF(OR(TRIM(Music!A255)="", TRIM(Music!B255)=""),"","{ 'freq':"&amp;Music!A255&amp;", 'duration':"&amp;Music!B255&amp;"},")</f>
        <v/>
      </c>
    </row>
    <row r="256" spans="1:1" x14ac:dyDescent="0.25">
      <c r="A256" t="str">
        <f>IF(OR(TRIM(Music!A256)="", TRIM(Music!B256)=""),"","{ 'freq':"&amp;Music!A256&amp;", 'duration':"&amp;Music!B256&amp;"},")</f>
        <v/>
      </c>
    </row>
    <row r="257" spans="1:1" x14ac:dyDescent="0.25">
      <c r="A257" t="str">
        <f>IF(OR(TRIM(Music!A257)="", TRIM(Music!B257)=""),"","{ 'freq':"&amp;Music!A257&amp;", 'duration':"&amp;Music!B257&amp;"},")</f>
        <v/>
      </c>
    </row>
    <row r="258" spans="1:1" x14ac:dyDescent="0.25">
      <c r="A258" t="str">
        <f>IF(OR(TRIM(Music!A258)="", TRIM(Music!B258)=""),"","{ 'freq':"&amp;Music!A258&amp;", 'duration':"&amp;Music!B258&amp;"},")</f>
        <v/>
      </c>
    </row>
    <row r="259" spans="1:1" x14ac:dyDescent="0.25">
      <c r="A259" t="str">
        <f>IF(OR(TRIM(Music!A259)="", TRIM(Music!B259)=""),"","{ 'freq':"&amp;Music!A259&amp;", 'duration':"&amp;Music!B259&amp;"},")</f>
        <v/>
      </c>
    </row>
    <row r="260" spans="1:1" x14ac:dyDescent="0.25">
      <c r="A260" t="str">
        <f>IF(OR(TRIM(Music!A260)="", TRIM(Music!B260)=""),"","{ 'freq':"&amp;Music!A260&amp;", 'duration':"&amp;Music!B260&amp;"},")</f>
        <v/>
      </c>
    </row>
    <row r="261" spans="1:1" x14ac:dyDescent="0.25">
      <c r="A261" t="str">
        <f>IF(OR(TRIM(Music!A261)="", TRIM(Music!B261)=""),"","{ 'freq':"&amp;Music!A261&amp;", 'duration':"&amp;Music!B261&amp;"},")</f>
        <v/>
      </c>
    </row>
    <row r="262" spans="1:1" x14ac:dyDescent="0.25">
      <c r="A262" t="str">
        <f>IF(OR(TRIM(Music!A262)="", TRIM(Music!B262)=""),"","{ 'freq':"&amp;Music!A262&amp;", 'duration':"&amp;Music!B262&amp;"},")</f>
        <v/>
      </c>
    </row>
    <row r="263" spans="1:1" x14ac:dyDescent="0.25">
      <c r="A263" t="str">
        <f>IF(OR(TRIM(Music!A263)="", TRIM(Music!B263)=""),"","{ 'freq':"&amp;Music!A263&amp;", 'duration':"&amp;Music!B263&amp;"},")</f>
        <v/>
      </c>
    </row>
    <row r="264" spans="1:1" x14ac:dyDescent="0.25">
      <c r="A264" t="str">
        <f>IF(OR(TRIM(Music!A264)="", TRIM(Music!B264)=""),"","{ 'freq':"&amp;Music!A264&amp;", 'duration':"&amp;Music!B264&amp;"},")</f>
        <v/>
      </c>
    </row>
    <row r="265" spans="1:1" x14ac:dyDescent="0.25">
      <c r="A265" t="str">
        <f>IF(OR(TRIM(Music!A265)="", TRIM(Music!B265)=""),"","{ 'freq':"&amp;Music!A265&amp;", 'duration':"&amp;Music!B265&amp;"},")</f>
        <v/>
      </c>
    </row>
    <row r="266" spans="1:1" x14ac:dyDescent="0.25">
      <c r="A266" t="str">
        <f>IF(OR(TRIM(Music!A266)="", TRIM(Music!B266)=""),"","{ 'freq':"&amp;Music!A266&amp;", 'duration':"&amp;Music!B266&amp;"},")</f>
        <v/>
      </c>
    </row>
    <row r="267" spans="1:1" x14ac:dyDescent="0.25">
      <c r="A267" t="str">
        <f>IF(OR(TRIM(Music!A267)="", TRIM(Music!B267)=""),"","{ 'freq':"&amp;Music!A267&amp;", 'duration':"&amp;Music!B267&amp;"},")</f>
        <v/>
      </c>
    </row>
    <row r="268" spans="1:1" x14ac:dyDescent="0.25">
      <c r="A268" t="str">
        <f>IF(OR(TRIM(Music!A268)="", TRIM(Music!B268)=""),"","{ 'freq':"&amp;Music!A268&amp;", 'duration':"&amp;Music!B268&amp;"},")</f>
        <v/>
      </c>
    </row>
    <row r="269" spans="1:1" x14ac:dyDescent="0.25">
      <c r="A269" t="str">
        <f>IF(OR(TRIM(Music!A269)="", TRIM(Music!B269)=""),"","{ 'freq':"&amp;Music!A269&amp;", 'duration':"&amp;Music!B269&amp;"},")</f>
        <v/>
      </c>
    </row>
    <row r="270" spans="1:1" x14ac:dyDescent="0.25">
      <c r="A270" t="str">
        <f>IF(OR(TRIM(Music!A270)="", TRIM(Music!B270)=""),"","{ 'freq':"&amp;Music!A270&amp;", 'duration':"&amp;Music!B270&amp;"},")</f>
        <v/>
      </c>
    </row>
    <row r="271" spans="1:1" x14ac:dyDescent="0.25">
      <c r="A271" t="str">
        <f>IF(OR(TRIM(Music!A271)="", TRIM(Music!B271)=""),"","{ 'freq':"&amp;Music!A271&amp;", 'duration':"&amp;Music!B271&amp;"},")</f>
        <v/>
      </c>
    </row>
    <row r="272" spans="1:1" x14ac:dyDescent="0.25">
      <c r="A272" t="str">
        <f>IF(OR(TRIM(Music!A272)="", TRIM(Music!B272)=""),"","{ 'freq':"&amp;Music!A272&amp;", 'duration':"&amp;Music!B272&amp;"},")</f>
        <v/>
      </c>
    </row>
    <row r="273" spans="1:1" x14ac:dyDescent="0.25">
      <c r="A273" t="str">
        <f>IF(OR(TRIM(Music!A273)="", TRIM(Music!B273)=""),"","{ 'freq':"&amp;Music!A273&amp;", 'duration':"&amp;Music!B273&amp;"},")</f>
        <v/>
      </c>
    </row>
    <row r="274" spans="1:1" x14ac:dyDescent="0.25">
      <c r="A274" t="str">
        <f>IF(OR(TRIM(Music!A274)="", TRIM(Music!B274)=""),"","{ 'freq':"&amp;Music!A274&amp;", 'duration':"&amp;Music!B274&amp;"},")</f>
        <v/>
      </c>
    </row>
    <row r="275" spans="1:1" x14ac:dyDescent="0.25">
      <c r="A275" t="str">
        <f>IF(OR(TRIM(Music!A275)="", TRIM(Music!B275)=""),"","{ 'freq':"&amp;Music!A275&amp;", 'duration':"&amp;Music!B275&amp;"},")</f>
        <v/>
      </c>
    </row>
    <row r="276" spans="1:1" x14ac:dyDescent="0.25">
      <c r="A276" t="str">
        <f>IF(OR(TRIM(Music!A276)="", TRIM(Music!B276)=""),"","{ 'freq':"&amp;Music!A276&amp;", 'duration':"&amp;Music!B276&amp;"},")</f>
        <v/>
      </c>
    </row>
    <row r="277" spans="1:1" x14ac:dyDescent="0.25">
      <c r="A277" t="str">
        <f>IF(OR(TRIM(Music!A277)="", TRIM(Music!B277)=""),"","{ 'freq':"&amp;Music!A277&amp;", 'duration':"&amp;Music!B277&amp;"},")</f>
        <v/>
      </c>
    </row>
    <row r="278" spans="1:1" x14ac:dyDescent="0.25">
      <c r="A278" t="str">
        <f>IF(OR(TRIM(Music!A278)="", TRIM(Music!B278)=""),"","{ 'freq':"&amp;Music!A278&amp;", 'duration':"&amp;Music!B278&amp;"},")</f>
        <v/>
      </c>
    </row>
    <row r="279" spans="1:1" x14ac:dyDescent="0.25">
      <c r="A279" t="str">
        <f>IF(OR(TRIM(Music!A279)="", TRIM(Music!B279)=""),"","{ 'freq':"&amp;Music!A279&amp;", 'duration':"&amp;Music!B279&amp;"},")</f>
        <v/>
      </c>
    </row>
    <row r="280" spans="1:1" x14ac:dyDescent="0.25">
      <c r="A280" t="str">
        <f>IF(OR(TRIM(Music!A280)="", TRIM(Music!B280)=""),"","{ 'freq':"&amp;Music!A280&amp;", 'duration':"&amp;Music!B280&amp;"},")</f>
        <v/>
      </c>
    </row>
    <row r="281" spans="1:1" x14ac:dyDescent="0.25">
      <c r="A281" t="str">
        <f>IF(OR(TRIM(Music!A281)="", TRIM(Music!B281)=""),"","{ 'freq':"&amp;Music!A281&amp;", 'duration':"&amp;Music!B281&amp;"},")</f>
        <v/>
      </c>
    </row>
    <row r="282" spans="1:1" x14ac:dyDescent="0.25">
      <c r="A282" t="str">
        <f>IF(OR(TRIM(Music!A282)="", TRIM(Music!B282)=""),"","{ 'freq':"&amp;Music!A282&amp;", 'duration':"&amp;Music!B282&amp;"},")</f>
        <v/>
      </c>
    </row>
    <row r="283" spans="1:1" x14ac:dyDescent="0.25">
      <c r="A283" t="str">
        <f>IF(OR(TRIM(Music!A283)="", TRIM(Music!B283)=""),"","{ 'freq':"&amp;Music!A283&amp;", 'duration':"&amp;Music!B283&amp;"},")</f>
        <v/>
      </c>
    </row>
    <row r="284" spans="1:1" x14ac:dyDescent="0.25">
      <c r="A284" t="str">
        <f>IF(OR(TRIM(Music!A284)="", TRIM(Music!B284)=""),"","{ 'freq':"&amp;Music!A284&amp;", 'duration':"&amp;Music!B284&amp;"},")</f>
        <v/>
      </c>
    </row>
    <row r="285" spans="1:1" x14ac:dyDescent="0.25">
      <c r="A285" t="str">
        <f>IF(OR(TRIM(Music!A285)="", TRIM(Music!B285)=""),"","{ 'freq':"&amp;Music!A285&amp;", 'duration':"&amp;Music!B285&amp;"},")</f>
        <v/>
      </c>
    </row>
    <row r="286" spans="1:1" x14ac:dyDescent="0.25">
      <c r="A286" t="str">
        <f>IF(OR(TRIM(Music!A286)="", TRIM(Music!B286)=""),"","{ 'freq':"&amp;Music!A286&amp;", 'duration':"&amp;Music!B286&amp;"},")</f>
        <v/>
      </c>
    </row>
    <row r="287" spans="1:1" x14ac:dyDescent="0.25">
      <c r="A287" t="str">
        <f>IF(OR(TRIM(Music!A287)="", TRIM(Music!B287)=""),"","{ 'freq':"&amp;Music!A287&amp;", 'duration':"&amp;Music!B287&amp;"},")</f>
        <v/>
      </c>
    </row>
    <row r="288" spans="1:1" x14ac:dyDescent="0.25">
      <c r="A288" t="str">
        <f>IF(OR(TRIM(Music!A288)="", TRIM(Music!B288)=""),"","{ 'freq':"&amp;Music!A288&amp;", 'duration':"&amp;Music!B288&amp;"},")</f>
        <v/>
      </c>
    </row>
    <row r="289" spans="1:1" x14ac:dyDescent="0.25">
      <c r="A289" t="str">
        <f>IF(OR(TRIM(Music!A289)="", TRIM(Music!B289)=""),"","{ 'freq':"&amp;Music!A289&amp;", 'duration':"&amp;Music!B289&amp;"},")</f>
        <v/>
      </c>
    </row>
    <row r="290" spans="1:1" x14ac:dyDescent="0.25">
      <c r="A290" t="str">
        <f>IF(OR(TRIM(Music!A290)="", TRIM(Music!B290)=""),"","{ 'freq':"&amp;Music!A290&amp;", 'duration':"&amp;Music!B290&amp;"},")</f>
        <v/>
      </c>
    </row>
    <row r="291" spans="1:1" x14ac:dyDescent="0.25">
      <c r="A291" t="str">
        <f>IF(OR(TRIM(Music!A291)="", TRIM(Music!B291)=""),"","{ 'freq':"&amp;Music!A291&amp;", 'duration':"&amp;Music!B291&amp;"},")</f>
        <v/>
      </c>
    </row>
    <row r="292" spans="1:1" x14ac:dyDescent="0.25">
      <c r="A292" t="str">
        <f>IF(OR(TRIM(Music!A292)="", TRIM(Music!B292)=""),"","{ 'freq':"&amp;Music!A292&amp;", 'duration':"&amp;Music!B292&amp;"},")</f>
        <v/>
      </c>
    </row>
    <row r="293" spans="1:1" x14ac:dyDescent="0.25">
      <c r="A293" t="str">
        <f>IF(OR(TRIM(Music!A293)="", TRIM(Music!B293)=""),"","{ 'freq':"&amp;Music!A293&amp;", 'duration':"&amp;Music!B293&amp;"},")</f>
        <v/>
      </c>
    </row>
    <row r="294" spans="1:1" x14ac:dyDescent="0.25">
      <c r="A294" t="str">
        <f>IF(OR(TRIM(Music!A294)="", TRIM(Music!B294)=""),"","{ 'freq':"&amp;Music!A294&amp;", 'duration':"&amp;Music!B294&amp;"},")</f>
        <v/>
      </c>
    </row>
    <row r="295" spans="1:1" x14ac:dyDescent="0.25">
      <c r="A295" t="str">
        <f>IF(OR(TRIM(Music!A295)="", TRIM(Music!B295)=""),"","{ 'freq':"&amp;Music!A295&amp;", 'duration':"&amp;Music!B295&amp;"},")</f>
        <v/>
      </c>
    </row>
    <row r="296" spans="1:1" x14ac:dyDescent="0.25">
      <c r="A296" t="str">
        <f>IF(OR(TRIM(Music!A296)="", TRIM(Music!B296)=""),"","{ 'freq':"&amp;Music!A296&amp;", 'duration':"&amp;Music!B296&amp;"},")</f>
        <v/>
      </c>
    </row>
    <row r="297" spans="1:1" x14ac:dyDescent="0.25">
      <c r="A297" t="str">
        <f>IF(OR(TRIM(Music!A297)="", TRIM(Music!B297)=""),"","{ 'freq':"&amp;Music!A297&amp;", 'duration':"&amp;Music!B297&amp;"},")</f>
        <v/>
      </c>
    </row>
    <row r="298" spans="1:1" x14ac:dyDescent="0.25">
      <c r="A298" t="str">
        <f>IF(OR(TRIM(Music!A298)="", TRIM(Music!B298)=""),"","{ 'freq':"&amp;Music!A298&amp;", 'duration':"&amp;Music!B298&amp;"},")</f>
        <v/>
      </c>
    </row>
    <row r="299" spans="1:1" x14ac:dyDescent="0.25">
      <c r="A299" t="str">
        <f>IF(OR(TRIM(Music!A299)="", TRIM(Music!B299)=""),"","{ 'freq':"&amp;Music!A299&amp;", 'duration':"&amp;Music!B299&amp;"},")</f>
        <v/>
      </c>
    </row>
    <row r="300" spans="1:1" x14ac:dyDescent="0.25">
      <c r="A300" t="str">
        <f>IF(OR(TRIM(Music!A300)="", TRIM(Music!B300)=""),"","{ 'freq':"&amp;Music!A300&amp;", 'duration':"&amp;Music!B300&amp;"},")</f>
        <v/>
      </c>
    </row>
    <row r="301" spans="1:1" x14ac:dyDescent="0.25">
      <c r="A301" t="str">
        <f>IF(OR(TRIM(Music!A301)="", TRIM(Music!B301)=""),"","{ 'freq':"&amp;Music!A301&amp;", 'duration':"&amp;Music!B301&amp;"},")</f>
        <v/>
      </c>
    </row>
    <row r="302" spans="1:1" x14ac:dyDescent="0.25">
      <c r="A302" t="str">
        <f>IF(OR(TRIM(Music!A302)="", TRIM(Music!B302)=""),"","{ 'freq':"&amp;Music!A302&amp;", 'duration':"&amp;Music!B302&amp;"},")</f>
        <v/>
      </c>
    </row>
    <row r="303" spans="1:1" x14ac:dyDescent="0.25">
      <c r="A303" t="str">
        <f>IF(OR(TRIM(Music!A303)="", TRIM(Music!B303)=""),"","{ 'freq':"&amp;Music!A303&amp;", 'duration':"&amp;Music!B303&amp;"},")</f>
        <v/>
      </c>
    </row>
    <row r="304" spans="1:1" x14ac:dyDescent="0.25">
      <c r="A304" t="str">
        <f>IF(OR(TRIM(Music!A304)="", TRIM(Music!B304)=""),"","{ 'freq':"&amp;Music!A304&amp;", 'duration':"&amp;Music!B304&amp;"},")</f>
        <v/>
      </c>
    </row>
    <row r="305" spans="1:1" x14ac:dyDescent="0.25">
      <c r="A305" t="str">
        <f>IF(OR(TRIM(Music!A305)="", TRIM(Music!B305)=""),"","{ 'freq':"&amp;Music!A305&amp;", 'duration':"&amp;Music!B305&amp;"},")</f>
        <v/>
      </c>
    </row>
    <row r="306" spans="1:1" x14ac:dyDescent="0.25">
      <c r="A306" t="str">
        <f>IF(OR(TRIM(Music!A306)="", TRIM(Music!B306)=""),"","{ 'freq':"&amp;Music!A306&amp;", 'duration':"&amp;Music!B306&amp;"},")</f>
        <v/>
      </c>
    </row>
    <row r="307" spans="1:1" x14ac:dyDescent="0.25">
      <c r="A307" t="str">
        <f>IF(OR(TRIM(Music!A307)="", TRIM(Music!B307)=""),"","{ 'freq':"&amp;Music!A307&amp;", 'duration':"&amp;Music!B307&amp;"},")</f>
        <v/>
      </c>
    </row>
    <row r="308" spans="1:1" x14ac:dyDescent="0.25">
      <c r="A308" t="str">
        <f>IF(OR(TRIM(Music!A308)="", TRIM(Music!B308)=""),"","{ 'freq':"&amp;Music!A308&amp;", 'duration':"&amp;Music!B308&amp;"},")</f>
        <v/>
      </c>
    </row>
    <row r="309" spans="1:1" x14ac:dyDescent="0.25">
      <c r="A309" t="str">
        <f>IF(OR(TRIM(Music!A309)="", TRIM(Music!B309)=""),"","{ 'freq':"&amp;Music!A309&amp;", 'duration':"&amp;Music!B309&amp;"},")</f>
        <v/>
      </c>
    </row>
    <row r="310" spans="1:1" x14ac:dyDescent="0.25">
      <c r="A310" t="str">
        <f>IF(OR(TRIM(Music!A310)="", TRIM(Music!B310)=""),"","{ 'freq':"&amp;Music!A310&amp;", 'duration':"&amp;Music!B310&amp;"},")</f>
        <v/>
      </c>
    </row>
    <row r="311" spans="1:1" x14ac:dyDescent="0.25">
      <c r="A311" t="str">
        <f>IF(OR(TRIM(Music!A311)="", TRIM(Music!B311)=""),"","{ 'freq':"&amp;Music!A311&amp;", 'duration':"&amp;Music!B311&amp;"},")</f>
        <v/>
      </c>
    </row>
    <row r="312" spans="1:1" x14ac:dyDescent="0.25">
      <c r="A312" t="str">
        <f>IF(OR(TRIM(Music!A312)="", TRIM(Music!B312)=""),"","{ 'freq':"&amp;Music!A312&amp;", 'duration':"&amp;Music!B312&amp;"},")</f>
        <v/>
      </c>
    </row>
    <row r="313" spans="1:1" x14ac:dyDescent="0.25">
      <c r="A313" t="str">
        <f>IF(OR(TRIM(Music!A313)="", TRIM(Music!B313)=""),"","{ 'freq':"&amp;Music!A313&amp;", 'duration':"&amp;Music!B313&amp;"},")</f>
        <v/>
      </c>
    </row>
    <row r="314" spans="1:1" x14ac:dyDescent="0.25">
      <c r="A314" t="str">
        <f>IF(OR(TRIM(Music!A314)="", TRIM(Music!B314)=""),"","{ 'freq':"&amp;Music!A314&amp;", 'duration':"&amp;Music!B314&amp;"},")</f>
        <v/>
      </c>
    </row>
    <row r="315" spans="1:1" x14ac:dyDescent="0.25">
      <c r="A315" t="str">
        <f>IF(OR(TRIM(Music!A315)="", TRIM(Music!B315)=""),"","{ 'freq':"&amp;Music!A315&amp;", 'duration':"&amp;Music!B315&amp;"},")</f>
        <v/>
      </c>
    </row>
    <row r="316" spans="1:1" x14ac:dyDescent="0.25">
      <c r="A316" t="str">
        <f>IF(OR(TRIM(Music!A316)="", TRIM(Music!B316)=""),"","{ 'freq':"&amp;Music!A316&amp;", 'duration':"&amp;Music!B316&amp;"},")</f>
        <v/>
      </c>
    </row>
    <row r="317" spans="1:1" x14ac:dyDescent="0.25">
      <c r="A317" t="str">
        <f>IF(OR(TRIM(Music!A317)="", TRIM(Music!B317)=""),"","{ 'freq':"&amp;Music!A317&amp;", 'duration':"&amp;Music!B317&amp;"},")</f>
        <v/>
      </c>
    </row>
    <row r="318" spans="1:1" x14ac:dyDescent="0.25">
      <c r="A318" t="str">
        <f>IF(OR(TRIM(Music!A318)="", TRIM(Music!B318)=""),"","{ 'freq':"&amp;Music!A318&amp;", 'duration':"&amp;Music!B318&amp;"},")</f>
        <v/>
      </c>
    </row>
    <row r="319" spans="1:1" x14ac:dyDescent="0.25">
      <c r="A319" t="str">
        <f>IF(OR(TRIM(Music!A319)="", TRIM(Music!B319)=""),"","{ 'freq':"&amp;Music!A319&amp;", 'duration':"&amp;Music!B319&amp;"},")</f>
        <v/>
      </c>
    </row>
    <row r="320" spans="1:1" x14ac:dyDescent="0.25">
      <c r="A320" t="str">
        <f>IF(OR(TRIM(Music!A320)="", TRIM(Music!B320)=""),"","{ 'freq':"&amp;Music!A320&amp;", 'duration':"&amp;Music!B320&amp;"},")</f>
        <v/>
      </c>
    </row>
    <row r="321" spans="1:1" x14ac:dyDescent="0.25">
      <c r="A321" t="str">
        <f>IF(OR(TRIM(Music!A321)="", TRIM(Music!B321)=""),"","{ 'freq':"&amp;Music!A321&amp;", 'duration':"&amp;Music!B321&amp;"},")</f>
        <v/>
      </c>
    </row>
    <row r="322" spans="1:1" x14ac:dyDescent="0.25">
      <c r="A322" t="str">
        <f>IF(OR(TRIM(Music!A322)="", TRIM(Music!B322)=""),"","{ 'freq':"&amp;Music!A322&amp;", 'duration':"&amp;Music!B322&amp;"},")</f>
        <v/>
      </c>
    </row>
    <row r="323" spans="1:1" x14ac:dyDescent="0.25">
      <c r="A323" t="str">
        <f>IF(OR(TRIM(Music!A323)="", TRIM(Music!B323)=""),"","{ 'freq':"&amp;Music!A323&amp;", 'duration':"&amp;Music!B323&amp;"},")</f>
        <v/>
      </c>
    </row>
    <row r="324" spans="1:1" x14ac:dyDescent="0.25">
      <c r="A324" t="str">
        <f>IF(OR(TRIM(Music!A324)="", TRIM(Music!B324)=""),"","{ 'freq':"&amp;Music!A324&amp;", 'duration':"&amp;Music!B324&amp;"},")</f>
        <v/>
      </c>
    </row>
    <row r="325" spans="1:1" x14ac:dyDescent="0.25">
      <c r="A325" t="str">
        <f>IF(OR(TRIM(Music!A325)="", TRIM(Music!B325)=""),"","{ 'freq':"&amp;Music!A325&amp;", 'duration':"&amp;Music!B325&amp;"},")</f>
        <v/>
      </c>
    </row>
    <row r="326" spans="1:1" x14ac:dyDescent="0.25">
      <c r="A326" t="str">
        <f>IF(OR(TRIM(Music!A326)="", TRIM(Music!B326)=""),"","{ 'freq':"&amp;Music!A326&amp;", 'duration':"&amp;Music!B326&amp;"},")</f>
        <v/>
      </c>
    </row>
    <row r="327" spans="1:1" x14ac:dyDescent="0.25">
      <c r="A327" t="str">
        <f>IF(OR(TRIM(Music!A327)="", TRIM(Music!B327)=""),"","{ 'freq':"&amp;Music!A327&amp;", 'duration':"&amp;Music!B327&amp;"},")</f>
        <v/>
      </c>
    </row>
    <row r="328" spans="1:1" x14ac:dyDescent="0.25">
      <c r="A328" t="str">
        <f>IF(OR(TRIM(Music!A328)="", TRIM(Music!B328)=""),"","{ 'freq':"&amp;Music!A328&amp;", 'duration':"&amp;Music!B328&amp;"},")</f>
        <v/>
      </c>
    </row>
    <row r="329" spans="1:1" x14ac:dyDescent="0.25">
      <c r="A329" t="str">
        <f>IF(OR(TRIM(Music!A329)="", TRIM(Music!B329)=""),"","{ 'freq':"&amp;Music!A329&amp;", 'duration':"&amp;Music!B329&amp;"},")</f>
        <v/>
      </c>
    </row>
    <row r="330" spans="1:1" x14ac:dyDescent="0.25">
      <c r="A330" t="str">
        <f>IF(OR(TRIM(Music!A330)="", TRIM(Music!B330)=""),"","{ 'freq':"&amp;Music!A330&amp;", 'duration':"&amp;Music!B330&amp;"},")</f>
        <v/>
      </c>
    </row>
    <row r="331" spans="1:1" x14ac:dyDescent="0.25">
      <c r="A331" t="str">
        <f>IF(OR(TRIM(Music!A331)="", TRIM(Music!B331)=""),"","{ 'freq':"&amp;Music!A331&amp;", 'duration':"&amp;Music!B331&amp;"},")</f>
        <v/>
      </c>
    </row>
    <row r="332" spans="1:1" x14ac:dyDescent="0.25">
      <c r="A332" t="str">
        <f>IF(OR(TRIM(Music!A332)="", TRIM(Music!B332)=""),"","{ 'freq':"&amp;Music!A332&amp;", 'duration':"&amp;Music!B332&amp;"},")</f>
        <v/>
      </c>
    </row>
    <row r="333" spans="1:1" x14ac:dyDescent="0.25">
      <c r="A333" t="str">
        <f>IF(OR(TRIM(Music!A333)="", TRIM(Music!B333)=""),"","{ 'freq':"&amp;Music!A333&amp;", 'duration':"&amp;Music!B333&amp;"},")</f>
        <v/>
      </c>
    </row>
    <row r="334" spans="1:1" x14ac:dyDescent="0.25">
      <c r="A334" t="str">
        <f>IF(OR(TRIM(Music!A334)="", TRIM(Music!B334)=""),"","{ 'freq':"&amp;Music!A334&amp;", 'duration':"&amp;Music!B334&amp;"},")</f>
        <v/>
      </c>
    </row>
    <row r="335" spans="1:1" x14ac:dyDescent="0.25">
      <c r="A335" t="str">
        <f>IF(OR(TRIM(Music!A335)="", TRIM(Music!B335)=""),"","{ 'freq':"&amp;Music!A335&amp;", 'duration':"&amp;Music!B335&amp;"},")</f>
        <v/>
      </c>
    </row>
    <row r="336" spans="1:1" x14ac:dyDescent="0.25">
      <c r="A336" t="str">
        <f>IF(OR(TRIM(Music!A336)="", TRIM(Music!B336)=""),"","{ 'freq':"&amp;Music!A336&amp;", 'duration':"&amp;Music!B336&amp;"},")</f>
        <v/>
      </c>
    </row>
    <row r="337" spans="1:1" x14ac:dyDescent="0.25">
      <c r="A337" t="str">
        <f>IF(OR(TRIM(Music!A337)="", TRIM(Music!B337)=""),"","{ 'freq':"&amp;Music!A337&amp;", 'duration':"&amp;Music!B337&amp;"},")</f>
        <v/>
      </c>
    </row>
    <row r="338" spans="1:1" x14ac:dyDescent="0.25">
      <c r="A338" t="str">
        <f>IF(OR(TRIM(Music!A338)="", TRIM(Music!B338)=""),"","{ 'freq':"&amp;Music!A338&amp;", 'duration':"&amp;Music!B338&amp;"},")</f>
        <v/>
      </c>
    </row>
    <row r="339" spans="1:1" x14ac:dyDescent="0.25">
      <c r="A339" t="str">
        <f>IF(OR(TRIM(Music!A339)="", TRIM(Music!B339)=""),"","{ 'freq':"&amp;Music!A339&amp;", 'duration':"&amp;Music!B339&amp;"},")</f>
        <v/>
      </c>
    </row>
    <row r="340" spans="1:1" x14ac:dyDescent="0.25">
      <c r="A340" t="str">
        <f>IF(OR(TRIM(Music!A340)="", TRIM(Music!B340)=""),"","{ 'freq':"&amp;Music!A340&amp;", 'duration':"&amp;Music!B340&amp;"},")</f>
        <v/>
      </c>
    </row>
    <row r="341" spans="1:1" x14ac:dyDescent="0.25">
      <c r="A341" t="str">
        <f>IF(OR(TRIM(Music!A341)="", TRIM(Music!B341)=""),"","{ 'freq':"&amp;Music!A341&amp;", 'duration':"&amp;Music!B341&amp;"},")</f>
        <v/>
      </c>
    </row>
    <row r="342" spans="1:1" x14ac:dyDescent="0.25">
      <c r="A342" t="str">
        <f>IF(OR(TRIM(Music!A342)="", TRIM(Music!B342)=""),"","{ 'freq':"&amp;Music!A342&amp;", 'duration':"&amp;Music!B342&amp;"},")</f>
        <v/>
      </c>
    </row>
    <row r="343" spans="1:1" x14ac:dyDescent="0.25">
      <c r="A343" t="str">
        <f>IF(OR(TRIM(Music!A343)="", TRIM(Music!B343)=""),"","{ 'freq':"&amp;Music!A343&amp;", 'duration':"&amp;Music!B343&amp;"},")</f>
        <v/>
      </c>
    </row>
    <row r="344" spans="1:1" x14ac:dyDescent="0.25">
      <c r="A344" t="str">
        <f>IF(OR(TRIM(Music!A344)="", TRIM(Music!B344)=""),"","{ 'freq':"&amp;Music!A344&amp;", 'duration':"&amp;Music!B344&amp;"},")</f>
        <v/>
      </c>
    </row>
    <row r="345" spans="1:1" x14ac:dyDescent="0.25">
      <c r="A345" t="str">
        <f>IF(OR(TRIM(Music!A345)="", TRIM(Music!B345)=""),"","{ 'freq':"&amp;Music!A345&amp;", 'duration':"&amp;Music!B345&amp;"},")</f>
        <v/>
      </c>
    </row>
    <row r="346" spans="1:1" x14ac:dyDescent="0.25">
      <c r="A346" t="str">
        <f>IF(OR(TRIM(Music!A346)="", TRIM(Music!B346)=""),"","{ 'freq':"&amp;Music!A346&amp;", 'duration':"&amp;Music!B346&amp;"},")</f>
        <v/>
      </c>
    </row>
    <row r="347" spans="1:1" x14ac:dyDescent="0.25">
      <c r="A347" t="str">
        <f>IF(OR(TRIM(Music!A347)="", TRIM(Music!B347)=""),"","{ 'freq':"&amp;Music!A347&amp;", 'duration':"&amp;Music!B347&amp;"},")</f>
        <v/>
      </c>
    </row>
    <row r="348" spans="1:1" x14ac:dyDescent="0.25">
      <c r="A348" t="str">
        <f>IF(OR(TRIM(Music!A348)="", TRIM(Music!B348)=""),"","{ 'freq':"&amp;Music!A348&amp;", 'duration':"&amp;Music!B348&amp;"},")</f>
        <v/>
      </c>
    </row>
    <row r="349" spans="1:1" x14ac:dyDescent="0.25">
      <c r="A349" t="str">
        <f>IF(OR(TRIM(Music!A349)="", TRIM(Music!B349)=""),"","{ 'freq':"&amp;Music!A349&amp;", 'duration':"&amp;Music!B349&amp;"},")</f>
        <v/>
      </c>
    </row>
    <row r="350" spans="1:1" x14ac:dyDescent="0.25">
      <c r="A350" t="str">
        <f>IF(OR(TRIM(Music!A350)="", TRIM(Music!B350)=""),"","{ 'freq':"&amp;Music!A350&amp;", 'duration':"&amp;Music!B350&amp;"},")</f>
        <v/>
      </c>
    </row>
    <row r="351" spans="1:1" x14ac:dyDescent="0.25">
      <c r="A351" t="str">
        <f>IF(OR(TRIM(Music!A351)="", TRIM(Music!B351)=""),"","{ 'freq':"&amp;Music!A351&amp;", 'duration':"&amp;Music!B351&amp;"},")</f>
        <v/>
      </c>
    </row>
    <row r="352" spans="1:1" x14ac:dyDescent="0.25">
      <c r="A352" t="str">
        <f>IF(OR(TRIM(Music!A352)="", TRIM(Music!B352)=""),"","{ 'freq':"&amp;Music!A352&amp;", 'duration':"&amp;Music!B352&amp;"},")</f>
        <v/>
      </c>
    </row>
    <row r="353" spans="1:1" x14ac:dyDescent="0.25">
      <c r="A353" t="str">
        <f>IF(OR(TRIM(Music!A353)="", TRIM(Music!B353)=""),"","{ 'freq':"&amp;Music!A353&amp;", 'duration':"&amp;Music!B353&amp;"},")</f>
        <v/>
      </c>
    </row>
    <row r="354" spans="1:1" x14ac:dyDescent="0.25">
      <c r="A354" t="str">
        <f>IF(OR(TRIM(Music!A354)="", TRIM(Music!B354)=""),"","{ 'freq':"&amp;Music!A354&amp;", 'duration':"&amp;Music!B354&amp;"},")</f>
        <v/>
      </c>
    </row>
    <row r="355" spans="1:1" x14ac:dyDescent="0.25">
      <c r="A355" t="str">
        <f>IF(OR(TRIM(Music!A355)="", TRIM(Music!B355)=""),"","{ 'freq':"&amp;Music!A355&amp;", 'duration':"&amp;Music!B355&amp;"},")</f>
        <v/>
      </c>
    </row>
    <row r="356" spans="1:1" x14ac:dyDescent="0.25">
      <c r="A356" t="str">
        <f>IF(OR(TRIM(Music!A356)="", TRIM(Music!B356)=""),"","{ 'freq':"&amp;Music!A356&amp;", 'duration':"&amp;Music!B356&amp;"},")</f>
        <v/>
      </c>
    </row>
    <row r="357" spans="1:1" x14ac:dyDescent="0.25">
      <c r="A357" t="str">
        <f>IF(OR(TRIM(Music!A357)="", TRIM(Music!B357)=""),"","{ 'freq':"&amp;Music!A357&amp;", 'duration':"&amp;Music!B357&amp;"},")</f>
        <v/>
      </c>
    </row>
    <row r="358" spans="1:1" x14ac:dyDescent="0.25">
      <c r="A358" t="str">
        <f>IF(OR(TRIM(Music!A358)="", TRIM(Music!B358)=""),"","{ 'freq':"&amp;Music!A358&amp;", 'duration':"&amp;Music!B358&amp;"},")</f>
        <v/>
      </c>
    </row>
    <row r="359" spans="1:1" x14ac:dyDescent="0.25">
      <c r="A359" t="str">
        <f>IF(OR(TRIM(Music!A359)="", TRIM(Music!B359)=""),"","{ 'freq':"&amp;Music!A359&amp;", 'duration':"&amp;Music!B359&amp;"},")</f>
        <v/>
      </c>
    </row>
    <row r="360" spans="1:1" x14ac:dyDescent="0.25">
      <c r="A360" t="str">
        <f>IF(OR(TRIM(Music!A360)="", TRIM(Music!B360)=""),"","{ 'freq':"&amp;Music!A360&amp;", 'duration':"&amp;Music!B360&amp;"},")</f>
        <v/>
      </c>
    </row>
    <row r="361" spans="1:1" x14ac:dyDescent="0.25">
      <c r="A361" t="str">
        <f>IF(OR(TRIM(Music!A361)="", TRIM(Music!B361)=""),"","{ 'freq':"&amp;Music!A361&amp;", 'duration':"&amp;Music!B361&amp;"},")</f>
        <v/>
      </c>
    </row>
    <row r="362" spans="1:1" x14ac:dyDescent="0.25">
      <c r="A362" t="str">
        <f>IF(OR(TRIM(Music!A362)="", TRIM(Music!B362)=""),"","{ 'freq':"&amp;Music!A362&amp;", 'duration':"&amp;Music!B362&amp;"},")</f>
        <v/>
      </c>
    </row>
    <row r="363" spans="1:1" x14ac:dyDescent="0.25">
      <c r="A363" t="str">
        <f>IF(OR(TRIM(Music!A363)="", TRIM(Music!B363)=""),"","{ 'freq':"&amp;Music!A363&amp;", 'duration':"&amp;Music!B363&amp;"},")</f>
        <v/>
      </c>
    </row>
    <row r="364" spans="1:1" x14ac:dyDescent="0.25">
      <c r="A364" t="str">
        <f>IF(OR(TRIM(Music!A364)="", TRIM(Music!B364)=""),"","{ 'freq':"&amp;Music!A364&amp;", 'duration':"&amp;Music!B364&amp;"},")</f>
        <v/>
      </c>
    </row>
    <row r="365" spans="1:1" x14ac:dyDescent="0.25">
      <c r="A365" t="str">
        <f>IF(OR(TRIM(Music!A365)="", TRIM(Music!B365)=""),"","{ 'freq':"&amp;Music!A365&amp;", 'duration':"&amp;Music!B365&amp;"},")</f>
        <v/>
      </c>
    </row>
    <row r="366" spans="1:1" x14ac:dyDescent="0.25">
      <c r="A366" t="str">
        <f>IF(OR(TRIM(Music!A366)="", TRIM(Music!B366)=""),"","{ 'freq':"&amp;Music!A366&amp;", 'duration':"&amp;Music!B366&amp;"},")</f>
        <v/>
      </c>
    </row>
    <row r="367" spans="1:1" x14ac:dyDescent="0.25">
      <c r="A367" t="str">
        <f>IF(OR(TRIM(Music!A367)="", TRIM(Music!B367)=""),"","{ 'freq':"&amp;Music!A367&amp;", 'duration':"&amp;Music!B367&amp;"},")</f>
        <v/>
      </c>
    </row>
    <row r="368" spans="1:1" x14ac:dyDescent="0.25">
      <c r="A368" t="str">
        <f>IF(OR(TRIM(Music!A368)="", TRIM(Music!B368)=""),"","{ 'freq':"&amp;Music!A368&amp;", 'duration':"&amp;Music!B368&amp;"},")</f>
        <v/>
      </c>
    </row>
    <row r="369" spans="1:1" x14ac:dyDescent="0.25">
      <c r="A369" t="str">
        <f>IF(OR(TRIM(Music!A369)="", TRIM(Music!B369)=""),"","{ 'freq':"&amp;Music!A369&amp;", 'duration':"&amp;Music!B369&amp;"},")</f>
        <v/>
      </c>
    </row>
    <row r="370" spans="1:1" x14ac:dyDescent="0.25">
      <c r="A370" t="str">
        <f>IF(OR(TRIM(Music!A370)="", TRIM(Music!B370)=""),"","{ 'freq':"&amp;Music!A370&amp;", 'duration':"&amp;Music!B370&amp;"},")</f>
        <v/>
      </c>
    </row>
    <row r="371" spans="1:1" x14ac:dyDescent="0.25">
      <c r="A371" t="str">
        <f>IF(OR(TRIM(Music!A371)="", TRIM(Music!B371)=""),"","{ 'freq':"&amp;Music!A371&amp;", 'duration':"&amp;Music!B371&amp;"},")</f>
        <v/>
      </c>
    </row>
    <row r="372" spans="1:1" x14ac:dyDescent="0.25">
      <c r="A372" t="str">
        <f>IF(OR(TRIM(Music!A372)="", TRIM(Music!B372)=""),"","{ 'freq':"&amp;Music!A372&amp;", 'duration':"&amp;Music!B372&amp;"},")</f>
        <v/>
      </c>
    </row>
    <row r="373" spans="1:1" x14ac:dyDescent="0.25">
      <c r="A373" t="str">
        <f>IF(OR(TRIM(Music!A373)="", TRIM(Music!B373)=""),"","{ 'freq':"&amp;Music!A373&amp;", 'duration':"&amp;Music!B373&amp;"},")</f>
        <v/>
      </c>
    </row>
    <row r="374" spans="1:1" x14ac:dyDescent="0.25">
      <c r="A374" t="str">
        <f>IF(OR(TRIM(Music!A374)="", TRIM(Music!B374)=""),"","{ 'freq':"&amp;Music!A374&amp;", 'duration':"&amp;Music!B374&amp;"},")</f>
        <v/>
      </c>
    </row>
    <row r="375" spans="1:1" x14ac:dyDescent="0.25">
      <c r="A375" t="str">
        <f>IF(OR(TRIM(Music!A375)="", TRIM(Music!B375)=""),"","{ 'freq':"&amp;Music!A375&amp;", 'duration':"&amp;Music!B375&amp;"},")</f>
        <v/>
      </c>
    </row>
    <row r="376" spans="1:1" x14ac:dyDescent="0.25">
      <c r="A376" t="str">
        <f>IF(OR(TRIM(Music!A376)="", TRIM(Music!B376)=""),"","{ 'freq':"&amp;Music!A376&amp;", 'duration':"&amp;Music!B376&amp;"},")</f>
        <v/>
      </c>
    </row>
    <row r="377" spans="1:1" x14ac:dyDescent="0.25">
      <c r="A377" t="str">
        <f>IF(OR(TRIM(Music!A377)="", TRIM(Music!B377)=""),"","{ 'freq':"&amp;Music!A377&amp;", 'duration':"&amp;Music!B377&amp;"},")</f>
        <v/>
      </c>
    </row>
    <row r="378" spans="1:1" x14ac:dyDescent="0.25">
      <c r="A378" t="str">
        <f>IF(OR(TRIM(Music!A378)="", TRIM(Music!B378)=""),"","{ 'freq':"&amp;Music!A378&amp;", 'duration':"&amp;Music!B378&amp;"},")</f>
        <v/>
      </c>
    </row>
    <row r="379" spans="1:1" x14ac:dyDescent="0.25">
      <c r="A379" t="str">
        <f>IF(OR(TRIM(Music!A379)="", TRIM(Music!B379)=""),"","{ 'freq':"&amp;Music!A379&amp;", 'duration':"&amp;Music!B379&amp;"},")</f>
        <v/>
      </c>
    </row>
    <row r="380" spans="1:1" x14ac:dyDescent="0.25">
      <c r="A380" t="str">
        <f>IF(OR(TRIM(Music!A380)="", TRIM(Music!B380)=""),"","{ 'freq':"&amp;Music!A380&amp;", 'duration':"&amp;Music!B380&amp;"},")</f>
        <v/>
      </c>
    </row>
    <row r="381" spans="1:1" x14ac:dyDescent="0.25">
      <c r="A381" t="str">
        <f>IF(OR(TRIM(Music!A381)="", TRIM(Music!B381)=""),"","{ 'freq':"&amp;Music!A381&amp;", 'duration':"&amp;Music!B381&amp;"},")</f>
        <v/>
      </c>
    </row>
    <row r="382" spans="1:1" x14ac:dyDescent="0.25">
      <c r="A382" t="str">
        <f>IF(OR(TRIM(Music!A382)="", TRIM(Music!B382)=""),"","{ 'freq':"&amp;Music!A382&amp;", 'duration':"&amp;Music!B382&amp;"},")</f>
        <v/>
      </c>
    </row>
    <row r="383" spans="1:1" x14ac:dyDescent="0.25">
      <c r="A383" t="str">
        <f>IF(OR(TRIM(Music!A383)="", TRIM(Music!B383)=""),"","{ 'freq':"&amp;Music!A383&amp;", 'duration':"&amp;Music!B383&amp;"},")</f>
        <v/>
      </c>
    </row>
    <row r="384" spans="1:1" x14ac:dyDescent="0.25">
      <c r="A384" t="str">
        <f>IF(OR(TRIM(Music!A384)="", TRIM(Music!B384)=""),"","{ 'freq':"&amp;Music!A384&amp;", 'duration':"&amp;Music!B384&amp;"},")</f>
        <v/>
      </c>
    </row>
    <row r="385" spans="1:1" x14ac:dyDescent="0.25">
      <c r="A385" t="str">
        <f>IF(OR(TRIM(Music!A385)="", TRIM(Music!B385)=""),"","{ 'freq':"&amp;Music!A385&amp;", 'duration':"&amp;Music!B385&amp;"},")</f>
        <v/>
      </c>
    </row>
    <row r="386" spans="1:1" x14ac:dyDescent="0.25">
      <c r="A386" t="str">
        <f>IF(OR(TRIM(Music!A386)="", TRIM(Music!B386)=""),"","{ 'freq':"&amp;Music!A386&amp;", 'duration':"&amp;Music!B386&amp;"},")</f>
        <v/>
      </c>
    </row>
    <row r="387" spans="1:1" x14ac:dyDescent="0.25">
      <c r="A387" t="str">
        <f>IF(OR(TRIM(Music!A387)="", TRIM(Music!B387)=""),"","{ 'freq':"&amp;Music!A387&amp;", 'duration':"&amp;Music!B387&amp;"},")</f>
        <v/>
      </c>
    </row>
    <row r="388" spans="1:1" x14ac:dyDescent="0.25">
      <c r="A388" t="str">
        <f>IF(OR(TRIM(Music!A388)="", TRIM(Music!B388)=""),"","{ 'freq':"&amp;Music!A388&amp;", 'duration':"&amp;Music!B388&amp;"},")</f>
        <v/>
      </c>
    </row>
    <row r="389" spans="1:1" x14ac:dyDescent="0.25">
      <c r="A389" t="str">
        <f>IF(OR(TRIM(Music!A389)="", TRIM(Music!B389)=""),"","{ 'freq':"&amp;Music!A389&amp;", 'duration':"&amp;Music!B389&amp;"},")</f>
        <v/>
      </c>
    </row>
    <row r="390" spans="1:1" x14ac:dyDescent="0.25">
      <c r="A390" t="str">
        <f>IF(OR(TRIM(Music!A390)="", TRIM(Music!B390)=""),"","{ 'freq':"&amp;Music!A390&amp;", 'duration':"&amp;Music!B390&amp;"},")</f>
        <v/>
      </c>
    </row>
    <row r="391" spans="1:1" x14ac:dyDescent="0.25">
      <c r="A391" t="str">
        <f>IF(OR(TRIM(Music!A391)="", TRIM(Music!B391)=""),"","{ 'freq':"&amp;Music!A391&amp;", 'duration':"&amp;Music!B391&amp;"},")</f>
        <v/>
      </c>
    </row>
    <row r="392" spans="1:1" x14ac:dyDescent="0.25">
      <c r="A392" t="str">
        <f>IF(OR(TRIM(Music!A392)="", TRIM(Music!B392)=""),"","{ 'freq':"&amp;Music!A392&amp;", 'duration':"&amp;Music!B392&amp;"},")</f>
        <v/>
      </c>
    </row>
    <row r="393" spans="1:1" x14ac:dyDescent="0.25">
      <c r="A393" t="str">
        <f>IF(OR(TRIM(Music!A393)="", TRIM(Music!B393)=""),"","{ 'freq':"&amp;Music!A393&amp;", 'duration':"&amp;Music!B393&amp;"},")</f>
        <v/>
      </c>
    </row>
    <row r="394" spans="1:1" x14ac:dyDescent="0.25">
      <c r="A394" t="str">
        <f>IF(OR(TRIM(Music!A394)="", TRIM(Music!B394)=""),"","{ 'freq':"&amp;Music!A394&amp;", 'duration':"&amp;Music!B394&amp;"},")</f>
        <v/>
      </c>
    </row>
    <row r="395" spans="1:1" x14ac:dyDescent="0.25">
      <c r="A395" t="str">
        <f>IF(OR(TRIM(Music!A395)="", TRIM(Music!B395)=""),"","{ 'freq':"&amp;Music!A395&amp;", 'duration':"&amp;Music!B395&amp;"},")</f>
        <v/>
      </c>
    </row>
    <row r="396" spans="1:1" x14ac:dyDescent="0.25">
      <c r="A396" t="str">
        <f>IF(OR(TRIM(Music!A396)="", TRIM(Music!B396)=""),"","{ 'freq':"&amp;Music!A396&amp;", 'duration':"&amp;Music!B396&amp;"},")</f>
        <v/>
      </c>
    </row>
    <row r="397" spans="1:1" x14ac:dyDescent="0.25">
      <c r="A397" t="str">
        <f>IF(OR(TRIM(Music!A397)="", TRIM(Music!B397)=""),"","{ 'freq':"&amp;Music!A397&amp;", 'duration':"&amp;Music!B397&amp;"},")</f>
        <v/>
      </c>
    </row>
    <row r="398" spans="1:1" x14ac:dyDescent="0.25">
      <c r="A398" t="str">
        <f>IF(OR(TRIM(Music!A398)="", TRIM(Music!B398)=""),"","{ 'freq':"&amp;Music!A398&amp;", 'duration':"&amp;Music!B398&amp;"},")</f>
        <v/>
      </c>
    </row>
    <row r="399" spans="1:1" x14ac:dyDescent="0.25">
      <c r="A399" t="str">
        <f>IF(OR(TRIM(Music!A399)="", TRIM(Music!B399)=""),"","{ 'freq':"&amp;Music!A399&amp;", 'duration':"&amp;Music!B399&amp;"},")</f>
        <v/>
      </c>
    </row>
    <row r="400" spans="1:1" x14ac:dyDescent="0.25">
      <c r="A400" t="str">
        <f>IF(OR(TRIM(Music!A400)="", TRIM(Music!B400)=""),"","{ 'freq':"&amp;Music!A400&amp;", 'duration':"&amp;Music!B400&amp;"},")</f>
        <v/>
      </c>
    </row>
    <row r="401" spans="1:1" x14ac:dyDescent="0.25">
      <c r="A401" t="str">
        <f>IF(OR(TRIM(Music!A401)="", TRIM(Music!B401)=""),"","{ 'freq':"&amp;Music!A401&amp;", 'duration':"&amp;Music!B401&amp;"},")</f>
        <v/>
      </c>
    </row>
    <row r="402" spans="1:1" x14ac:dyDescent="0.25">
      <c r="A402" t="str">
        <f>IF(OR(TRIM(Music!A402)="", TRIM(Music!B402)=""),"","{ 'freq':"&amp;Music!A402&amp;", 'duration':"&amp;Music!B402&amp;"},")</f>
        <v/>
      </c>
    </row>
    <row r="403" spans="1:1" x14ac:dyDescent="0.25">
      <c r="A403" t="str">
        <f>IF(OR(TRIM(Music!A403)="", TRIM(Music!B403)=""),"","{ 'freq':"&amp;Music!A403&amp;", 'duration':"&amp;Music!B403&amp;"},")</f>
        <v/>
      </c>
    </row>
    <row r="404" spans="1:1" x14ac:dyDescent="0.25">
      <c r="A404" t="str">
        <f>IF(OR(TRIM(Music!A404)="", TRIM(Music!B404)=""),"","{ 'freq':"&amp;Music!A404&amp;", 'duration':"&amp;Music!B404&amp;"},")</f>
        <v/>
      </c>
    </row>
    <row r="405" spans="1:1" x14ac:dyDescent="0.25">
      <c r="A405" t="str">
        <f>IF(OR(TRIM(Music!A405)="", TRIM(Music!B405)=""),"","{ 'freq':"&amp;Music!A405&amp;", 'duration':"&amp;Music!B405&amp;"},")</f>
        <v/>
      </c>
    </row>
    <row r="406" spans="1:1" x14ac:dyDescent="0.25">
      <c r="A406" t="str">
        <f>IF(OR(TRIM(Music!A406)="", TRIM(Music!B406)=""),"","{ 'freq':"&amp;Music!A406&amp;", 'duration':"&amp;Music!B406&amp;"},")</f>
        <v/>
      </c>
    </row>
    <row r="407" spans="1:1" x14ac:dyDescent="0.25">
      <c r="A407" t="str">
        <f>IF(OR(TRIM(Music!A407)="", TRIM(Music!B407)=""),"","{ 'freq':"&amp;Music!A407&amp;", 'duration':"&amp;Music!B407&amp;"},")</f>
        <v/>
      </c>
    </row>
    <row r="408" spans="1:1" x14ac:dyDescent="0.25">
      <c r="A408" t="str">
        <f>IF(OR(TRIM(Music!A408)="", TRIM(Music!B408)=""),"","{ 'freq':"&amp;Music!A408&amp;", 'duration':"&amp;Music!B408&amp;"},")</f>
        <v/>
      </c>
    </row>
    <row r="409" spans="1:1" x14ac:dyDescent="0.25">
      <c r="A409" t="str">
        <f>IF(OR(TRIM(Music!A409)="", TRIM(Music!B409)=""),"","{ 'freq':"&amp;Music!A409&amp;", 'duration':"&amp;Music!B409&amp;"},")</f>
        <v/>
      </c>
    </row>
    <row r="410" spans="1:1" x14ac:dyDescent="0.25">
      <c r="A410" t="str">
        <f>IF(OR(TRIM(Music!A410)="", TRIM(Music!B410)=""),"","{ 'freq':"&amp;Music!A410&amp;", 'duration':"&amp;Music!B410&amp;"},")</f>
        <v/>
      </c>
    </row>
    <row r="411" spans="1:1" x14ac:dyDescent="0.25">
      <c r="A411" t="str">
        <f>IF(OR(TRIM(Music!A411)="", TRIM(Music!B411)=""),"","{ 'freq':"&amp;Music!A411&amp;", 'duration':"&amp;Music!B411&amp;"},")</f>
        <v/>
      </c>
    </row>
    <row r="412" spans="1:1" x14ac:dyDescent="0.25">
      <c r="A412" t="str">
        <f>IF(OR(TRIM(Music!A412)="", TRIM(Music!B412)=""),"","{ 'freq':"&amp;Music!A412&amp;", 'duration':"&amp;Music!B412&amp;"},")</f>
        <v/>
      </c>
    </row>
    <row r="413" spans="1:1" x14ac:dyDescent="0.25">
      <c r="A413" t="str">
        <f>IF(OR(TRIM(Music!A413)="", TRIM(Music!B413)=""),"","{ 'freq':"&amp;Music!A413&amp;", 'duration':"&amp;Music!B413&amp;"},")</f>
        <v/>
      </c>
    </row>
    <row r="414" spans="1:1" x14ac:dyDescent="0.25">
      <c r="A414" t="str">
        <f>IF(OR(TRIM(Music!A414)="", TRIM(Music!B414)=""),"","{ 'freq':"&amp;Music!A414&amp;", 'duration':"&amp;Music!B414&amp;"},")</f>
        <v/>
      </c>
    </row>
    <row r="415" spans="1:1" x14ac:dyDescent="0.25">
      <c r="A415" t="str">
        <f>IF(OR(TRIM(Music!A415)="", TRIM(Music!B415)=""),"","{ 'freq':"&amp;Music!A415&amp;", 'duration':"&amp;Music!B415&amp;"},")</f>
        <v/>
      </c>
    </row>
    <row r="416" spans="1:1" x14ac:dyDescent="0.25">
      <c r="A416" t="str">
        <f>IF(OR(TRIM(Music!A416)="", TRIM(Music!B416)=""),"","{ 'freq':"&amp;Music!A416&amp;", 'duration':"&amp;Music!B416&amp;"},")</f>
        <v/>
      </c>
    </row>
    <row r="417" spans="1:1" x14ac:dyDescent="0.25">
      <c r="A417" t="str">
        <f>IF(OR(TRIM(Music!A417)="", TRIM(Music!B417)=""),"","{ 'freq':"&amp;Music!A417&amp;", 'duration':"&amp;Music!B417&amp;"},")</f>
        <v/>
      </c>
    </row>
    <row r="418" spans="1:1" x14ac:dyDescent="0.25">
      <c r="A418" t="str">
        <f>IF(OR(TRIM(Music!A418)="", TRIM(Music!B418)=""),"","{ 'freq':"&amp;Music!A418&amp;", 'duration':"&amp;Music!B418&amp;"},")</f>
        <v/>
      </c>
    </row>
    <row r="419" spans="1:1" x14ac:dyDescent="0.25">
      <c r="A419" t="str">
        <f>IF(OR(TRIM(Music!A419)="", TRIM(Music!B419)=""),"","{ 'freq':"&amp;Music!A419&amp;", 'duration':"&amp;Music!B419&amp;"},")</f>
        <v/>
      </c>
    </row>
    <row r="420" spans="1:1" x14ac:dyDescent="0.25">
      <c r="A420" t="str">
        <f>IF(OR(TRIM(Music!A420)="", TRIM(Music!B420)=""),"","{ 'freq':"&amp;Music!A420&amp;", 'duration':"&amp;Music!B420&amp;"},")</f>
        <v/>
      </c>
    </row>
    <row r="421" spans="1:1" x14ac:dyDescent="0.25">
      <c r="A421" t="str">
        <f>IF(OR(TRIM(Music!A421)="", TRIM(Music!B421)=""),"","{ 'freq':"&amp;Music!A421&amp;", 'duration':"&amp;Music!B421&amp;"},")</f>
        <v/>
      </c>
    </row>
    <row r="422" spans="1:1" x14ac:dyDescent="0.25">
      <c r="A422" t="str">
        <f>IF(OR(TRIM(Music!A422)="", TRIM(Music!B422)=""),"","{ 'freq':"&amp;Music!A422&amp;", 'duration':"&amp;Music!B422&amp;"},")</f>
        <v/>
      </c>
    </row>
    <row r="423" spans="1:1" x14ac:dyDescent="0.25">
      <c r="A423" t="str">
        <f>IF(OR(TRIM(Music!A423)="", TRIM(Music!B423)=""),"","{ 'freq':"&amp;Music!A423&amp;", 'duration':"&amp;Music!B423&amp;"},")</f>
        <v/>
      </c>
    </row>
    <row r="424" spans="1:1" x14ac:dyDescent="0.25">
      <c r="A424" t="str">
        <f>IF(OR(TRIM(Music!A424)="", TRIM(Music!B424)=""),"","{ 'freq':"&amp;Music!A424&amp;", 'duration':"&amp;Music!B424&amp;"},")</f>
        <v/>
      </c>
    </row>
    <row r="425" spans="1:1" x14ac:dyDescent="0.25">
      <c r="A425" t="str">
        <f>IF(OR(TRIM(Music!A425)="", TRIM(Music!B425)=""),"","{ 'freq':"&amp;Music!A425&amp;", 'duration':"&amp;Music!B425&amp;"},")</f>
        <v/>
      </c>
    </row>
    <row r="426" spans="1:1" x14ac:dyDescent="0.25">
      <c r="A426" t="str">
        <f>IF(OR(TRIM(Music!A426)="", TRIM(Music!B426)=""),"","{ 'freq':"&amp;Music!A426&amp;", 'duration':"&amp;Music!B426&amp;"},")</f>
        <v/>
      </c>
    </row>
    <row r="427" spans="1:1" x14ac:dyDescent="0.25">
      <c r="A427" t="str">
        <f>IF(OR(TRIM(Music!A427)="", TRIM(Music!B427)=""),"","{ 'freq':"&amp;Music!A427&amp;", 'duration':"&amp;Music!B427&amp;"},")</f>
        <v/>
      </c>
    </row>
    <row r="428" spans="1:1" x14ac:dyDescent="0.25">
      <c r="A428" t="str">
        <f>IF(OR(TRIM(Music!A428)="", TRIM(Music!B428)=""),"","{ 'freq':"&amp;Music!A428&amp;", 'duration':"&amp;Music!B428&amp;"},")</f>
        <v/>
      </c>
    </row>
    <row r="429" spans="1:1" x14ac:dyDescent="0.25">
      <c r="A429" t="str">
        <f>IF(OR(TRIM(Music!A429)="", TRIM(Music!B429)=""),"","{ 'freq':"&amp;Music!A429&amp;", 'duration':"&amp;Music!B429&amp;"},")</f>
        <v/>
      </c>
    </row>
    <row r="430" spans="1:1" x14ac:dyDescent="0.25">
      <c r="A430" t="str">
        <f>IF(OR(TRIM(Music!A430)="", TRIM(Music!B430)=""),"","{ 'freq':"&amp;Music!A430&amp;", 'duration':"&amp;Music!B430&amp;"},")</f>
        <v/>
      </c>
    </row>
    <row r="431" spans="1:1" x14ac:dyDescent="0.25">
      <c r="A431" t="str">
        <f>IF(OR(TRIM(Music!A431)="", TRIM(Music!B431)=""),"","{ 'freq':"&amp;Music!A431&amp;", 'duration':"&amp;Music!B431&amp;"},")</f>
        <v/>
      </c>
    </row>
    <row r="432" spans="1:1" x14ac:dyDescent="0.25">
      <c r="A432" t="str">
        <f>IF(OR(TRIM(Music!A432)="", TRIM(Music!B432)=""),"","{ 'freq':"&amp;Music!A432&amp;", 'duration':"&amp;Music!B432&amp;"},")</f>
        <v/>
      </c>
    </row>
    <row r="433" spans="1:1" x14ac:dyDescent="0.25">
      <c r="A433" t="str">
        <f>IF(OR(TRIM(Music!A433)="", TRIM(Music!B433)=""),"","{ 'freq':"&amp;Music!A433&amp;", 'duration':"&amp;Music!B433&amp;"},")</f>
        <v/>
      </c>
    </row>
    <row r="434" spans="1:1" x14ac:dyDescent="0.25">
      <c r="A434" t="str">
        <f>IF(OR(TRIM(Music!A434)="", TRIM(Music!B434)=""),"","{ 'freq':"&amp;Music!A434&amp;", 'duration':"&amp;Music!B434&amp;"},")</f>
        <v/>
      </c>
    </row>
    <row r="435" spans="1:1" x14ac:dyDescent="0.25">
      <c r="A435" t="str">
        <f>IF(OR(TRIM(Music!A435)="", TRIM(Music!B435)=""),"","{ 'freq':"&amp;Music!A435&amp;", 'duration':"&amp;Music!B435&amp;"},")</f>
        <v/>
      </c>
    </row>
    <row r="436" spans="1:1" x14ac:dyDescent="0.25">
      <c r="A436" t="str">
        <f>IF(OR(TRIM(Music!A436)="", TRIM(Music!B436)=""),"","{ 'freq':"&amp;Music!A436&amp;", 'duration':"&amp;Music!B436&amp;"},")</f>
        <v/>
      </c>
    </row>
    <row r="437" spans="1:1" x14ac:dyDescent="0.25">
      <c r="A437" t="str">
        <f>IF(OR(TRIM(Music!A437)="", TRIM(Music!B437)=""),"","{ 'freq':"&amp;Music!A437&amp;", 'duration':"&amp;Music!B437&amp;"},")</f>
        <v/>
      </c>
    </row>
    <row r="438" spans="1:1" x14ac:dyDescent="0.25">
      <c r="A438" t="str">
        <f>IF(OR(TRIM(Music!A438)="", TRIM(Music!B438)=""),"","{ 'freq':"&amp;Music!A438&amp;", 'duration':"&amp;Music!B438&amp;"},")</f>
        <v/>
      </c>
    </row>
    <row r="439" spans="1:1" x14ac:dyDescent="0.25">
      <c r="A439" t="str">
        <f>IF(OR(TRIM(Music!A439)="", TRIM(Music!B439)=""),"","{ 'freq':"&amp;Music!A439&amp;", 'duration':"&amp;Music!B439&amp;"},")</f>
        <v/>
      </c>
    </row>
    <row r="440" spans="1:1" x14ac:dyDescent="0.25">
      <c r="A440" t="str">
        <f>IF(OR(TRIM(Music!A440)="", TRIM(Music!B440)=""),"","{ 'freq':"&amp;Music!A440&amp;", 'duration':"&amp;Music!B440&amp;"},")</f>
        <v/>
      </c>
    </row>
    <row r="441" spans="1:1" x14ac:dyDescent="0.25">
      <c r="A441" t="str">
        <f>IF(OR(TRIM(Music!A441)="", TRIM(Music!B441)=""),"","{ 'freq':"&amp;Music!A441&amp;", 'duration':"&amp;Music!B441&amp;"},")</f>
        <v/>
      </c>
    </row>
    <row r="442" spans="1:1" x14ac:dyDescent="0.25">
      <c r="A442" t="str">
        <f>IF(OR(TRIM(Music!A442)="", TRIM(Music!B442)=""),"","{ 'freq':"&amp;Music!A442&amp;", 'duration':"&amp;Music!B442&amp;"},")</f>
        <v/>
      </c>
    </row>
    <row r="443" spans="1:1" x14ac:dyDescent="0.25">
      <c r="A443" t="str">
        <f>IF(OR(TRIM(Music!A443)="", TRIM(Music!B443)=""),"","{ 'freq':"&amp;Music!A443&amp;", 'duration':"&amp;Music!B443&amp;"},")</f>
        <v/>
      </c>
    </row>
    <row r="444" spans="1:1" x14ac:dyDescent="0.25">
      <c r="A444" t="str">
        <f>IF(OR(TRIM(Music!A444)="", TRIM(Music!B444)=""),"","{ 'freq':"&amp;Music!A444&amp;", 'duration':"&amp;Music!B444&amp;"},")</f>
        <v/>
      </c>
    </row>
    <row r="445" spans="1:1" x14ac:dyDescent="0.25">
      <c r="A445" t="str">
        <f>IF(OR(TRIM(Music!A445)="", TRIM(Music!B445)=""),"","{ 'freq':"&amp;Music!A445&amp;", 'duration':"&amp;Music!B445&amp;"},")</f>
        <v/>
      </c>
    </row>
    <row r="446" spans="1:1" x14ac:dyDescent="0.25">
      <c r="A446" t="str">
        <f>IF(OR(TRIM(Music!A446)="", TRIM(Music!B446)=""),"","{ 'freq':"&amp;Music!A446&amp;", 'duration':"&amp;Music!B446&amp;"},")</f>
        <v/>
      </c>
    </row>
    <row r="447" spans="1:1" x14ac:dyDescent="0.25">
      <c r="A447" t="str">
        <f>IF(OR(TRIM(Music!A447)="", TRIM(Music!B447)=""),"","{ 'freq':"&amp;Music!A447&amp;", 'duration':"&amp;Music!B447&amp;"},")</f>
        <v/>
      </c>
    </row>
    <row r="448" spans="1:1" x14ac:dyDescent="0.25">
      <c r="A448" t="str">
        <f>IF(OR(TRIM(Music!A448)="", TRIM(Music!B448)=""),"","{ 'freq':"&amp;Music!A448&amp;", 'duration':"&amp;Music!B448&amp;"},")</f>
        <v/>
      </c>
    </row>
    <row r="449" spans="1:1" x14ac:dyDescent="0.25">
      <c r="A449" t="str">
        <f>IF(OR(TRIM(Music!A449)="", TRIM(Music!B449)=""),"","{ 'freq':"&amp;Music!A449&amp;", 'duration':"&amp;Music!B449&amp;"},")</f>
        <v/>
      </c>
    </row>
    <row r="450" spans="1:1" x14ac:dyDescent="0.25">
      <c r="A450" t="str">
        <f>IF(OR(TRIM(Music!A450)="", TRIM(Music!B450)=""),"","{ 'freq':"&amp;Music!A450&amp;", 'duration':"&amp;Music!B450&amp;"},")</f>
        <v/>
      </c>
    </row>
    <row r="451" spans="1:1" x14ac:dyDescent="0.25">
      <c r="A451" t="str">
        <f>IF(OR(TRIM(Music!A451)="", TRIM(Music!B451)=""),"","{ 'freq':"&amp;Music!A451&amp;", 'duration':"&amp;Music!B451&amp;"},")</f>
        <v/>
      </c>
    </row>
    <row r="452" spans="1:1" x14ac:dyDescent="0.25">
      <c r="A452" t="str">
        <f>IF(OR(TRIM(Music!A452)="", TRIM(Music!B452)=""),"","{ 'freq':"&amp;Music!A452&amp;", 'duration':"&amp;Music!B452&amp;"},")</f>
        <v/>
      </c>
    </row>
    <row r="453" spans="1:1" x14ac:dyDescent="0.25">
      <c r="A453" t="str">
        <f>IF(OR(TRIM(Music!A453)="", TRIM(Music!B453)=""),"","{ 'freq':"&amp;Music!A453&amp;", 'duration':"&amp;Music!B453&amp;"},")</f>
        <v/>
      </c>
    </row>
    <row r="454" spans="1:1" x14ac:dyDescent="0.25">
      <c r="A454" t="str">
        <f>IF(OR(TRIM(Music!A454)="", TRIM(Music!B454)=""),"","{ 'freq':"&amp;Music!A454&amp;", 'duration':"&amp;Music!B454&amp;"},")</f>
        <v/>
      </c>
    </row>
    <row r="455" spans="1:1" x14ac:dyDescent="0.25">
      <c r="A455" t="str">
        <f>IF(OR(TRIM(Music!A455)="", TRIM(Music!B455)=""),"","{ 'freq':"&amp;Music!A455&amp;", 'duration':"&amp;Music!B455&amp;"},")</f>
        <v/>
      </c>
    </row>
    <row r="456" spans="1:1" x14ac:dyDescent="0.25">
      <c r="A456" t="str">
        <f>IF(OR(TRIM(Music!A456)="", TRIM(Music!B456)=""),"","{ 'freq':"&amp;Music!A456&amp;", 'duration':"&amp;Music!B456&amp;"},")</f>
        <v/>
      </c>
    </row>
    <row r="457" spans="1:1" x14ac:dyDescent="0.25">
      <c r="A457" t="str">
        <f>IF(OR(TRIM(Music!A457)="", TRIM(Music!B457)=""),"","{ 'freq':"&amp;Music!A457&amp;", 'duration':"&amp;Music!B457&amp;"},")</f>
        <v/>
      </c>
    </row>
    <row r="458" spans="1:1" x14ac:dyDescent="0.25">
      <c r="A458" t="str">
        <f>IF(OR(TRIM(Music!A458)="", TRIM(Music!B458)=""),"","{ 'freq':"&amp;Music!A458&amp;", 'duration':"&amp;Music!B458&amp;"},")</f>
        <v/>
      </c>
    </row>
    <row r="459" spans="1:1" x14ac:dyDescent="0.25">
      <c r="A459" t="str">
        <f>IF(OR(TRIM(Music!A459)="", TRIM(Music!B459)=""),"","{ 'freq':"&amp;Music!A459&amp;", 'duration':"&amp;Music!B459&amp;"},")</f>
        <v/>
      </c>
    </row>
    <row r="460" spans="1:1" x14ac:dyDescent="0.25">
      <c r="A460" t="str">
        <f>IF(OR(TRIM(Music!A460)="", TRIM(Music!B460)=""),"","{ 'freq':"&amp;Music!A460&amp;", 'duration':"&amp;Music!B460&amp;"},")</f>
        <v/>
      </c>
    </row>
    <row r="461" spans="1:1" x14ac:dyDescent="0.25">
      <c r="A461" t="str">
        <f>IF(OR(TRIM(Music!A461)="", TRIM(Music!B461)=""),"","{ 'freq':"&amp;Music!A461&amp;", 'duration':"&amp;Music!B461&amp;"},")</f>
        <v/>
      </c>
    </row>
    <row r="462" spans="1:1" x14ac:dyDescent="0.25">
      <c r="A462" t="str">
        <f>IF(OR(TRIM(Music!A462)="", TRIM(Music!B462)=""),"","{ 'freq':"&amp;Music!A462&amp;", 'duration':"&amp;Music!B462&amp;"},")</f>
        <v/>
      </c>
    </row>
    <row r="463" spans="1:1" x14ac:dyDescent="0.25">
      <c r="A463" t="str">
        <f>IF(OR(TRIM(Music!A463)="", TRIM(Music!B463)=""),"","{ 'freq':"&amp;Music!A463&amp;", 'duration':"&amp;Music!B463&amp;"},")</f>
        <v/>
      </c>
    </row>
    <row r="464" spans="1:1" x14ac:dyDescent="0.25">
      <c r="A464" t="str">
        <f>IF(OR(TRIM(Music!A464)="", TRIM(Music!B464)=""),"","{ 'freq':"&amp;Music!A464&amp;", 'duration':"&amp;Music!B464&amp;"},")</f>
        <v/>
      </c>
    </row>
    <row r="465" spans="1:1" x14ac:dyDescent="0.25">
      <c r="A465" t="str">
        <f>IF(OR(TRIM(Music!A465)="", TRIM(Music!B465)=""),"","{ 'freq':"&amp;Music!A465&amp;", 'duration':"&amp;Music!B465&amp;"},")</f>
        <v/>
      </c>
    </row>
    <row r="466" spans="1:1" x14ac:dyDescent="0.25">
      <c r="A466" t="str">
        <f>IF(OR(TRIM(Music!A466)="", TRIM(Music!B466)=""),"","{ 'freq':"&amp;Music!A466&amp;", 'duration':"&amp;Music!B466&amp;"},")</f>
        <v/>
      </c>
    </row>
    <row r="467" spans="1:1" x14ac:dyDescent="0.25">
      <c r="A467" t="str">
        <f>IF(OR(TRIM(Music!A467)="", TRIM(Music!B467)=""),"","{ 'freq':"&amp;Music!A467&amp;", 'duration':"&amp;Music!B467&amp;"},")</f>
        <v/>
      </c>
    </row>
    <row r="468" spans="1:1" x14ac:dyDescent="0.25">
      <c r="A468" t="str">
        <f>IF(OR(TRIM(Music!A468)="", TRIM(Music!B468)=""),"","{ 'freq':"&amp;Music!A468&amp;", 'duration':"&amp;Music!B468&amp;"},")</f>
        <v/>
      </c>
    </row>
    <row r="469" spans="1:1" x14ac:dyDescent="0.25">
      <c r="A469" t="str">
        <f>IF(OR(TRIM(Music!A469)="", TRIM(Music!B469)=""),"","{ 'freq':"&amp;Music!A469&amp;", 'duration':"&amp;Music!B469&amp;"},")</f>
        <v/>
      </c>
    </row>
    <row r="470" spans="1:1" x14ac:dyDescent="0.25">
      <c r="A470" t="str">
        <f>IF(OR(TRIM(Music!A470)="", TRIM(Music!B470)=""),"","{ 'freq':"&amp;Music!A470&amp;", 'duration':"&amp;Music!B470&amp;"},")</f>
        <v/>
      </c>
    </row>
    <row r="471" spans="1:1" x14ac:dyDescent="0.25">
      <c r="A471" t="str">
        <f>IF(OR(TRIM(Music!A471)="", TRIM(Music!B471)=""),"","{ 'freq':"&amp;Music!A471&amp;", 'duration':"&amp;Music!B471&amp;"},")</f>
        <v/>
      </c>
    </row>
    <row r="472" spans="1:1" x14ac:dyDescent="0.25">
      <c r="A472" t="str">
        <f>IF(OR(TRIM(Music!A472)="", TRIM(Music!B472)=""),"","{ 'freq':"&amp;Music!A472&amp;", 'duration':"&amp;Music!B472&amp;"},")</f>
        <v/>
      </c>
    </row>
    <row r="473" spans="1:1" x14ac:dyDescent="0.25">
      <c r="A473" t="str">
        <f>IF(OR(TRIM(Music!A473)="", TRIM(Music!B473)=""),"","{ 'freq':"&amp;Music!A473&amp;", 'duration':"&amp;Music!B473&amp;"},")</f>
        <v/>
      </c>
    </row>
    <row r="474" spans="1:1" x14ac:dyDescent="0.25">
      <c r="A474" t="str">
        <f>IF(OR(TRIM(Music!A474)="", TRIM(Music!B474)=""),"","{ 'freq':"&amp;Music!A474&amp;", 'duration':"&amp;Music!B474&amp;"},")</f>
        <v/>
      </c>
    </row>
    <row r="475" spans="1:1" x14ac:dyDescent="0.25">
      <c r="A475" t="str">
        <f>IF(OR(TRIM(Music!A475)="", TRIM(Music!B475)=""),"","{ 'freq':"&amp;Music!A475&amp;", 'duration':"&amp;Music!B475&amp;"},")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7FE1-6CA6-4EDD-B2A7-E66862092A11}">
  <sheetPr codeName="Sheet2"/>
  <dimension ref="A1:C147"/>
  <sheetViews>
    <sheetView topLeftCell="A19" workbookViewId="0">
      <selection activeCell="A40" sqref="A40:XFD40"/>
    </sheetView>
  </sheetViews>
  <sheetFormatPr defaultRowHeight="15" x14ac:dyDescent="0.25"/>
  <cols>
    <col min="1" max="1" width="32.5703125" customWidth="1"/>
    <col min="2" max="2" width="15.85546875" bestFit="1" customWidth="1"/>
    <col min="4" max="4" width="14.7109375" customWidth="1"/>
    <col min="5" max="5" width="12" bestFit="1" customWidth="1"/>
  </cols>
  <sheetData>
    <row r="1" spans="1:3" x14ac:dyDescent="0.25">
      <c r="A1" s="4" t="s">
        <v>21</v>
      </c>
      <c r="B1" s="4" t="s">
        <v>22</v>
      </c>
    </row>
    <row r="2" spans="1:3" x14ac:dyDescent="0.25">
      <c r="A2" s="1" t="s">
        <v>23</v>
      </c>
      <c r="B2" s="2">
        <f t="shared" ref="B2:B37" si="0">VLOOKUP($C2,$A$40:$B$147,2, FALSE)</f>
        <v>130.8127826502992</v>
      </c>
      <c r="C2" t="str">
        <f>MID($A2,1,LEN(A2)-1)&amp;(Music!$I$2-1)</f>
        <v>C3</v>
      </c>
    </row>
    <row r="3" spans="1:3" x14ac:dyDescent="0.25">
      <c r="A3" s="1" t="s">
        <v>24</v>
      </c>
      <c r="B3" s="2">
        <f t="shared" si="0"/>
        <v>138.59131548843592</v>
      </c>
      <c r="C3" t="str">
        <f>MID($A3,1,LEN(A3)-1)&amp;(Music!$I$2-1)</f>
        <v>C#3</v>
      </c>
    </row>
    <row r="4" spans="1:3" x14ac:dyDescent="0.25">
      <c r="A4" s="1" t="s">
        <v>25</v>
      </c>
      <c r="B4" s="2">
        <f t="shared" si="0"/>
        <v>146.83238395870364</v>
      </c>
      <c r="C4" t="str">
        <f>MID($A4,1,LEN(A4)-1)&amp;(Music!$I$2-1)</f>
        <v>D3</v>
      </c>
    </row>
    <row r="5" spans="1:3" x14ac:dyDescent="0.25">
      <c r="A5" s="1" t="s">
        <v>26</v>
      </c>
      <c r="B5" s="2">
        <f t="shared" si="0"/>
        <v>155.56349186104032</v>
      </c>
      <c r="C5" t="str">
        <f>MID($A5,1,LEN(A5)-1)&amp;(Music!$I$2-1)</f>
        <v>D#3</v>
      </c>
    </row>
    <row r="6" spans="1:3" x14ac:dyDescent="0.25">
      <c r="A6" s="1" t="s">
        <v>27</v>
      </c>
      <c r="B6" s="2">
        <f t="shared" si="0"/>
        <v>164.81377845643482</v>
      </c>
      <c r="C6" t="str">
        <f>MID($A6,1,LEN(A6)-1)&amp;(Music!$I$2-1)</f>
        <v>E3</v>
      </c>
    </row>
    <row r="7" spans="1:3" x14ac:dyDescent="0.25">
      <c r="A7" s="1" t="s">
        <v>28</v>
      </c>
      <c r="B7" s="2">
        <f t="shared" si="0"/>
        <v>174.6141157165018</v>
      </c>
      <c r="C7" t="str">
        <f>MID($A7,1,LEN(A7)-1)&amp;(Music!$I$2-1)</f>
        <v>F3</v>
      </c>
    </row>
    <row r="8" spans="1:3" x14ac:dyDescent="0.25">
      <c r="A8" s="1" t="s">
        <v>29</v>
      </c>
      <c r="B8" s="2">
        <f t="shared" si="0"/>
        <v>184.99721135581706</v>
      </c>
      <c r="C8" t="str">
        <f>MID($A8,1,LEN(A8)-1)&amp;(Music!$I$2-1)</f>
        <v>F#3</v>
      </c>
    </row>
    <row r="9" spans="1:3" x14ac:dyDescent="0.25">
      <c r="A9" s="1" t="s">
        <v>30</v>
      </c>
      <c r="B9" s="2">
        <f t="shared" si="0"/>
        <v>195.99771799087449</v>
      </c>
      <c r="C9" t="str">
        <f>MID($A9,1,LEN(A9)-1)&amp;(Music!$I$2-1)</f>
        <v>G3</v>
      </c>
    </row>
    <row r="10" spans="1:3" x14ac:dyDescent="0.25">
      <c r="A10" s="1" t="s">
        <v>31</v>
      </c>
      <c r="B10" s="2">
        <f t="shared" si="0"/>
        <v>207.65234878997242</v>
      </c>
      <c r="C10" t="str">
        <f>MID($A10,1,LEN(A10)-1)&amp;(Music!$I$2-1)</f>
        <v>G#3</v>
      </c>
    </row>
    <row r="11" spans="1:3" x14ac:dyDescent="0.25">
      <c r="A11" s="1" t="s">
        <v>32</v>
      </c>
      <c r="B11" s="2">
        <f t="shared" si="0"/>
        <v>219.99999999999986</v>
      </c>
      <c r="C11" t="str">
        <f>MID($A11,1,LEN(A11)-1)&amp;(Music!$I$2-1)</f>
        <v>A3</v>
      </c>
    </row>
    <row r="12" spans="1:3" x14ac:dyDescent="0.25">
      <c r="A12" s="1" t="s">
        <v>33</v>
      </c>
      <c r="B12" s="2">
        <f t="shared" si="0"/>
        <v>233.08188075904482</v>
      </c>
      <c r="C12" t="str">
        <f>MID($A12,1,LEN(A12)-1)&amp;(Music!$I$2-1)</f>
        <v>A#3</v>
      </c>
    </row>
    <row r="13" spans="1:3" x14ac:dyDescent="0.25">
      <c r="A13" s="1" t="s">
        <v>34</v>
      </c>
      <c r="B13" s="2">
        <f t="shared" si="0"/>
        <v>246.94165062806192</v>
      </c>
      <c r="C13" t="str">
        <f>MID($A13,1,LEN(A13)-1)&amp;(Music!$I$2-1)</f>
        <v>B3</v>
      </c>
    </row>
    <row r="14" spans="1:3" x14ac:dyDescent="0.25">
      <c r="A14" s="1" t="s">
        <v>5</v>
      </c>
      <c r="B14" s="2">
        <f t="shared" si="0"/>
        <v>261.62556530059851</v>
      </c>
      <c r="C14" t="str">
        <f>$A14&amp;Music!$I$2</f>
        <v>C4</v>
      </c>
    </row>
    <row r="15" spans="1:3" x14ac:dyDescent="0.25">
      <c r="A15" s="1" t="s">
        <v>35</v>
      </c>
      <c r="B15" s="2">
        <f t="shared" si="0"/>
        <v>277.18263097687196</v>
      </c>
      <c r="C15" t="str">
        <f>$A15&amp;Music!$I$2</f>
        <v>C#4</v>
      </c>
    </row>
    <row r="16" spans="1:3" x14ac:dyDescent="0.25">
      <c r="A16" s="1" t="s">
        <v>19</v>
      </c>
      <c r="B16" s="2">
        <f t="shared" si="0"/>
        <v>293.66476791740746</v>
      </c>
      <c r="C16" t="str">
        <f>$A16&amp;Music!$I$2</f>
        <v>D4</v>
      </c>
    </row>
    <row r="17" spans="1:3" x14ac:dyDescent="0.25">
      <c r="A17" s="1" t="s">
        <v>36</v>
      </c>
      <c r="B17" s="2">
        <f t="shared" si="0"/>
        <v>311.12698372208081</v>
      </c>
      <c r="C17" t="str">
        <f>$A17&amp;Music!$I$2</f>
        <v>D#4</v>
      </c>
    </row>
    <row r="18" spans="1:3" x14ac:dyDescent="0.25">
      <c r="A18" s="1" t="s">
        <v>7</v>
      </c>
      <c r="B18" s="2">
        <f t="shared" si="0"/>
        <v>329.62755691286986</v>
      </c>
      <c r="C18" t="str">
        <f>$A18&amp;Music!$I$2</f>
        <v>E4</v>
      </c>
    </row>
    <row r="19" spans="1:3" x14ac:dyDescent="0.25">
      <c r="A19" s="1" t="s">
        <v>18</v>
      </c>
      <c r="B19" s="2">
        <f t="shared" si="0"/>
        <v>349.22823143300383</v>
      </c>
      <c r="C19" t="str">
        <f>$A19&amp;Music!$I$2</f>
        <v>F4</v>
      </c>
    </row>
    <row r="20" spans="1:3" x14ac:dyDescent="0.25">
      <c r="A20" s="1" t="s">
        <v>37</v>
      </c>
      <c r="B20" s="2">
        <f t="shared" si="0"/>
        <v>369.99442271163434</v>
      </c>
      <c r="C20" t="str">
        <f>$A20&amp;Music!$I$2</f>
        <v>F#4</v>
      </c>
    </row>
    <row r="21" spans="1:3" x14ac:dyDescent="0.25">
      <c r="A21" s="1" t="s">
        <v>11</v>
      </c>
      <c r="B21" s="2">
        <f t="shared" si="0"/>
        <v>391.99543598174927</v>
      </c>
      <c r="C21" t="str">
        <f>$A21&amp;Music!$I$2</f>
        <v>G4</v>
      </c>
    </row>
    <row r="22" spans="1:3" x14ac:dyDescent="0.25">
      <c r="A22" s="1" t="s">
        <v>38</v>
      </c>
      <c r="B22" s="2">
        <f t="shared" si="0"/>
        <v>415.30469757994513</v>
      </c>
      <c r="C22" t="str">
        <f>$A22&amp;Music!$I$2</f>
        <v>G#4</v>
      </c>
    </row>
    <row r="23" spans="1:3" x14ac:dyDescent="0.25">
      <c r="A23" s="1" t="s">
        <v>17</v>
      </c>
      <c r="B23" s="2">
        <f t="shared" si="0"/>
        <v>440</v>
      </c>
      <c r="C23" t="str">
        <f>$A23&amp;Music!$I$2</f>
        <v>A4</v>
      </c>
    </row>
    <row r="24" spans="1:3" x14ac:dyDescent="0.25">
      <c r="A24" s="1" t="s">
        <v>39</v>
      </c>
      <c r="B24" s="2">
        <f t="shared" si="0"/>
        <v>466.16376151808993</v>
      </c>
      <c r="C24" t="str">
        <f>$A24&amp;Music!$I$2</f>
        <v>A#4</v>
      </c>
    </row>
    <row r="25" spans="1:3" x14ac:dyDescent="0.25">
      <c r="A25" s="1" t="s">
        <v>16</v>
      </c>
      <c r="B25" s="2">
        <f t="shared" si="0"/>
        <v>493.88330125612413</v>
      </c>
      <c r="C25" t="str">
        <f>$A25&amp;Music!$I$2</f>
        <v>B4</v>
      </c>
    </row>
    <row r="26" spans="1:3" x14ac:dyDescent="0.25">
      <c r="A26" s="1" t="s">
        <v>15</v>
      </c>
      <c r="B26" s="2">
        <f t="shared" si="0"/>
        <v>523.25113060119736</v>
      </c>
      <c r="C26" t="str">
        <f>MID($A26,1,LEN(A26)-1)&amp;(Music!$I$2+1)</f>
        <v>C5</v>
      </c>
    </row>
    <row r="27" spans="1:3" x14ac:dyDescent="0.25">
      <c r="A27" s="1" t="s">
        <v>40</v>
      </c>
      <c r="B27" s="2">
        <f t="shared" si="0"/>
        <v>554.36526195374427</v>
      </c>
      <c r="C27" t="str">
        <f>MID($A27,1,LEN(A27)-1)&amp;(Music!$I$2+1)</f>
        <v>C#5</v>
      </c>
    </row>
    <row r="28" spans="1:3" x14ac:dyDescent="0.25">
      <c r="A28" s="1" t="s">
        <v>41</v>
      </c>
      <c r="B28" s="2">
        <f t="shared" si="0"/>
        <v>587.32953583481526</v>
      </c>
      <c r="C28" t="str">
        <f>MID($A28,1,LEN(A28)-1)&amp;(Music!$I$2+1)</f>
        <v>D5</v>
      </c>
    </row>
    <row r="29" spans="1:3" x14ac:dyDescent="0.25">
      <c r="A29" s="1" t="s">
        <v>42</v>
      </c>
      <c r="B29" s="2">
        <f t="shared" si="0"/>
        <v>622.25396744416196</v>
      </c>
      <c r="C29" t="str">
        <f>MID($A29,1,LEN(A29)-1)&amp;(Music!$I$2+1)</f>
        <v>D#5</v>
      </c>
    </row>
    <row r="30" spans="1:3" x14ac:dyDescent="0.25">
      <c r="A30" s="1" t="s">
        <v>43</v>
      </c>
      <c r="B30" s="2">
        <f t="shared" si="0"/>
        <v>659.25511382574007</v>
      </c>
      <c r="C30" t="str">
        <f>MID($A30,1,LEN(A30)-1)&amp;(Music!$I$2+1)</f>
        <v>E5</v>
      </c>
    </row>
    <row r="31" spans="1:3" x14ac:dyDescent="0.25">
      <c r="A31" s="1" t="s">
        <v>44</v>
      </c>
      <c r="B31" s="2">
        <f t="shared" si="0"/>
        <v>698.456462866008</v>
      </c>
      <c r="C31" t="str">
        <f>MID($A31,1,LEN(A31)-1)&amp;(Music!$I$2+1)</f>
        <v>F5</v>
      </c>
    </row>
    <row r="32" spans="1:3" x14ac:dyDescent="0.25">
      <c r="A32" s="1" t="s">
        <v>45</v>
      </c>
      <c r="B32" s="2">
        <f t="shared" si="0"/>
        <v>739.98884542326903</v>
      </c>
      <c r="C32" t="str">
        <f>MID($A32,1,LEN(A32)-1)&amp;(Music!$I$2+1)</f>
        <v>F#5</v>
      </c>
    </row>
    <row r="33" spans="1:3" x14ac:dyDescent="0.25">
      <c r="A33" s="1" t="s">
        <v>46</v>
      </c>
      <c r="B33" s="2">
        <f t="shared" si="0"/>
        <v>783.99087196349888</v>
      </c>
      <c r="C33" t="str">
        <f>MID($A33,1,LEN(A33)-1)&amp;(Music!$I$2+1)</f>
        <v>G5</v>
      </c>
    </row>
    <row r="34" spans="1:3" x14ac:dyDescent="0.25">
      <c r="A34" s="1" t="s">
        <v>47</v>
      </c>
      <c r="B34" s="2">
        <f t="shared" si="0"/>
        <v>830.6093951598906</v>
      </c>
      <c r="C34" t="str">
        <f>MID($A34,1,LEN(A34)-1)&amp;(Music!$I$2+1)</f>
        <v>G#5</v>
      </c>
    </row>
    <row r="35" spans="1:3" x14ac:dyDescent="0.25">
      <c r="A35" s="1" t="s">
        <v>48</v>
      </c>
      <c r="B35" s="2">
        <f t="shared" si="0"/>
        <v>880.00000000000034</v>
      </c>
      <c r="C35" t="str">
        <f>MID($A35,1,LEN(A35)-1)&amp;(Music!$I$2+1)</f>
        <v>A5</v>
      </c>
    </row>
    <row r="36" spans="1:3" x14ac:dyDescent="0.25">
      <c r="A36" s="1" t="s">
        <v>49</v>
      </c>
      <c r="B36" s="2">
        <f t="shared" si="0"/>
        <v>932.3275230361802</v>
      </c>
      <c r="C36" t="str">
        <f>MID($A36,1,LEN(A36)-1)&amp;(Music!$I$2+1)</f>
        <v>A#5</v>
      </c>
    </row>
    <row r="37" spans="1:3" x14ac:dyDescent="0.25">
      <c r="A37" s="1" t="s">
        <v>50</v>
      </c>
      <c r="B37" s="2">
        <f t="shared" si="0"/>
        <v>987.7666025122486</v>
      </c>
      <c r="C37" t="str">
        <f>MID($A37,1,LEN(A37)-1)&amp;(Music!$I$2+1)</f>
        <v>B5</v>
      </c>
    </row>
    <row r="38" spans="1:3" x14ac:dyDescent="0.25">
      <c r="A38" s="7" t="s">
        <v>14</v>
      </c>
      <c r="B38" s="2">
        <v>0</v>
      </c>
      <c r="C38" s="1"/>
    </row>
    <row r="39" spans="1:3" x14ac:dyDescent="0.25">
      <c r="A39" s="7" t="s">
        <v>51</v>
      </c>
      <c r="B39" s="2">
        <v>0</v>
      </c>
      <c r="C39" s="1"/>
    </row>
    <row r="40" spans="1:3" x14ac:dyDescent="0.25">
      <c r="A40" s="1" t="s">
        <v>52</v>
      </c>
      <c r="B40" s="2">
        <f>B41/Music!$I$5</f>
        <v>16.351597831287371</v>
      </c>
      <c r="C40" s="1"/>
    </row>
    <row r="41" spans="1:3" x14ac:dyDescent="0.25">
      <c r="A41" s="1" t="s">
        <v>53</v>
      </c>
      <c r="B41" s="2">
        <f>B42/Music!$I$5</f>
        <v>17.323914436054462</v>
      </c>
      <c r="C41" s="1"/>
    </row>
    <row r="42" spans="1:3" x14ac:dyDescent="0.25">
      <c r="A42" s="1" t="s">
        <v>54</v>
      </c>
      <c r="B42" s="2">
        <f>B43/Music!$I$5</f>
        <v>18.354047994837927</v>
      </c>
      <c r="C42" s="1"/>
    </row>
    <row r="43" spans="1:3" x14ac:dyDescent="0.25">
      <c r="A43" s="1" t="s">
        <v>55</v>
      </c>
      <c r="B43" s="2">
        <f>B44/Music!$I$5</f>
        <v>19.445436482630008</v>
      </c>
      <c r="C43" s="1"/>
    </row>
    <row r="44" spans="1:3" x14ac:dyDescent="0.25">
      <c r="A44" s="1" t="s">
        <v>56</v>
      </c>
      <c r="B44" s="2">
        <f>B45/Music!$I$5</f>
        <v>20.60172230705432</v>
      </c>
      <c r="C44" s="1"/>
    </row>
    <row r="45" spans="1:3" x14ac:dyDescent="0.25">
      <c r="A45" s="1" t="s">
        <v>57</v>
      </c>
      <c r="B45" s="2">
        <f>B46/Music!$I$5</f>
        <v>21.826764464562689</v>
      </c>
      <c r="C45" s="1"/>
    </row>
    <row r="46" spans="1:3" x14ac:dyDescent="0.25">
      <c r="A46" s="1" t="s">
        <v>58</v>
      </c>
      <c r="B46" s="2">
        <f>B47/Music!$I$5</f>
        <v>23.124651419477093</v>
      </c>
      <c r="C46" s="1"/>
    </row>
    <row r="47" spans="1:3" x14ac:dyDescent="0.25">
      <c r="A47" s="1" t="s">
        <v>59</v>
      </c>
      <c r="B47" s="2">
        <f>B48/Music!$I$5</f>
        <v>24.499714748859272</v>
      </c>
      <c r="C47" s="1"/>
    </row>
    <row r="48" spans="1:3" x14ac:dyDescent="0.25">
      <c r="A48" s="1" t="s">
        <v>60</v>
      </c>
      <c r="B48" s="2">
        <f>B49/Music!$I$5</f>
        <v>25.95654359874651</v>
      </c>
      <c r="C48" s="1"/>
    </row>
    <row r="49" spans="1:3" x14ac:dyDescent="0.25">
      <c r="A49" s="1" t="s">
        <v>61</v>
      </c>
      <c r="B49" s="2">
        <f>B50/Music!$I$5</f>
        <v>27.499999999999936</v>
      </c>
      <c r="C49" s="1"/>
    </row>
    <row r="50" spans="1:3" x14ac:dyDescent="0.25">
      <c r="A50" s="1" t="s">
        <v>62</v>
      </c>
      <c r="B50" s="2">
        <f>B51/Music!$I$5</f>
        <v>29.135235094880553</v>
      </c>
      <c r="C50" s="1"/>
    </row>
    <row r="51" spans="1:3" x14ac:dyDescent="0.25">
      <c r="A51" s="1" t="s">
        <v>63</v>
      </c>
      <c r="B51" s="2">
        <f>B52/Music!$I$5</f>
        <v>30.867706328507687</v>
      </c>
      <c r="C51" s="1"/>
    </row>
    <row r="52" spans="1:3" x14ac:dyDescent="0.25">
      <c r="A52" s="1" t="s">
        <v>64</v>
      </c>
      <c r="B52" s="2">
        <f>B53/Music!$I$5</f>
        <v>32.703195662574757</v>
      </c>
    </row>
    <row r="53" spans="1:3" x14ac:dyDescent="0.25">
      <c r="A53" s="1" t="s">
        <v>65</v>
      </c>
      <c r="B53" s="2">
        <f>B54/Music!$I$5</f>
        <v>34.647828872108938</v>
      </c>
    </row>
    <row r="54" spans="1:3" x14ac:dyDescent="0.25">
      <c r="A54" s="1" t="s">
        <v>66</v>
      </c>
      <c r="B54" s="2">
        <f>B55/Music!$I$5</f>
        <v>36.708095989675869</v>
      </c>
    </row>
    <row r="55" spans="1:3" x14ac:dyDescent="0.25">
      <c r="A55" s="1" t="s">
        <v>67</v>
      </c>
      <c r="B55" s="2">
        <f>B56/Music!$I$5</f>
        <v>38.890872965260037</v>
      </c>
    </row>
    <row r="56" spans="1:3" x14ac:dyDescent="0.25">
      <c r="A56" s="1" t="s">
        <v>68</v>
      </c>
      <c r="B56" s="2">
        <f>B57/Music!$I$5</f>
        <v>41.203444614108662</v>
      </c>
    </row>
    <row r="57" spans="1:3" x14ac:dyDescent="0.25">
      <c r="A57" s="1" t="s">
        <v>69</v>
      </c>
      <c r="B57" s="2">
        <f>B58/Music!$I$5</f>
        <v>43.6535289291254</v>
      </c>
    </row>
    <row r="58" spans="1:3" x14ac:dyDescent="0.25">
      <c r="A58" s="1" t="s">
        <v>70</v>
      </c>
      <c r="B58" s="2">
        <f>B59/Music!$I$5</f>
        <v>46.249302838954215</v>
      </c>
    </row>
    <row r="59" spans="1:3" x14ac:dyDescent="0.25">
      <c r="A59" s="1" t="s">
        <v>71</v>
      </c>
      <c r="B59" s="2">
        <f>B60/Music!$I$5</f>
        <v>48.999429497718573</v>
      </c>
    </row>
    <row r="60" spans="1:3" x14ac:dyDescent="0.25">
      <c r="A60" s="1" t="s">
        <v>72</v>
      </c>
      <c r="B60" s="2">
        <f>B61/Music!$I$5</f>
        <v>51.913087197493049</v>
      </c>
    </row>
    <row r="61" spans="1:3" x14ac:dyDescent="0.25">
      <c r="A61" s="1" t="s">
        <v>73</v>
      </c>
      <c r="B61" s="2">
        <f>B62/Music!$I$5</f>
        <v>54.999999999999901</v>
      </c>
    </row>
    <row r="62" spans="1:3" x14ac:dyDescent="0.25">
      <c r="A62" s="1" t="s">
        <v>74</v>
      </c>
      <c r="B62" s="2">
        <f>B63/Music!$I$5</f>
        <v>58.270470189761134</v>
      </c>
    </row>
    <row r="63" spans="1:3" x14ac:dyDescent="0.25">
      <c r="A63" s="1" t="s">
        <v>75</v>
      </c>
      <c r="B63" s="2">
        <f>B64/Music!$I$5</f>
        <v>61.735412657015402</v>
      </c>
    </row>
    <row r="64" spans="1:3" x14ac:dyDescent="0.25">
      <c r="A64" s="1" t="s">
        <v>76</v>
      </c>
      <c r="B64" s="2">
        <f>B65/Music!$I$5</f>
        <v>65.406391325149542</v>
      </c>
    </row>
    <row r="65" spans="1:2" x14ac:dyDescent="0.25">
      <c r="A65" s="1" t="s">
        <v>77</v>
      </c>
      <c r="B65" s="2">
        <f>B66/Music!$I$5</f>
        <v>69.295657744217905</v>
      </c>
    </row>
    <row r="66" spans="1:2" x14ac:dyDescent="0.25">
      <c r="A66" s="1" t="s">
        <v>78</v>
      </c>
      <c r="B66" s="2">
        <f>B67/Music!$I$5</f>
        <v>73.416191979351765</v>
      </c>
    </row>
    <row r="67" spans="1:2" x14ac:dyDescent="0.25">
      <c r="A67" s="1" t="s">
        <v>79</v>
      </c>
      <c r="B67" s="2">
        <f>B68/Music!$I$5</f>
        <v>77.781745930520103</v>
      </c>
    </row>
    <row r="68" spans="1:2" x14ac:dyDescent="0.25">
      <c r="A68" s="1" t="s">
        <v>80</v>
      </c>
      <c r="B68" s="2">
        <f>B69/Music!$I$5</f>
        <v>82.406889228217352</v>
      </c>
    </row>
    <row r="69" spans="1:2" x14ac:dyDescent="0.25">
      <c r="A69" s="1" t="s">
        <v>81</v>
      </c>
      <c r="B69" s="2">
        <f>B70/Music!$I$5</f>
        <v>87.307057858250843</v>
      </c>
    </row>
    <row r="70" spans="1:2" x14ac:dyDescent="0.25">
      <c r="A70" s="1" t="s">
        <v>82</v>
      </c>
      <c r="B70" s="2">
        <f>B71/Music!$I$5</f>
        <v>92.498605677908472</v>
      </c>
    </row>
    <row r="71" spans="1:2" x14ac:dyDescent="0.25">
      <c r="A71" s="1" t="s">
        <v>83</v>
      </c>
      <c r="B71" s="2">
        <f>B72/Music!$I$5</f>
        <v>97.998858995437189</v>
      </c>
    </row>
    <row r="72" spans="1:2" x14ac:dyDescent="0.25">
      <c r="A72" s="1" t="s">
        <v>84</v>
      </c>
      <c r="B72" s="2">
        <f>B73/Music!$I$5</f>
        <v>103.82617439498615</v>
      </c>
    </row>
    <row r="73" spans="1:2" x14ac:dyDescent="0.25">
      <c r="A73" s="1" t="s">
        <v>85</v>
      </c>
      <c r="B73" s="2">
        <f>B74/Music!$I$5</f>
        <v>109.99999999999987</v>
      </c>
    </row>
    <row r="74" spans="1:2" x14ac:dyDescent="0.25">
      <c r="A74" s="1" t="s">
        <v>86</v>
      </c>
      <c r="B74" s="2">
        <f>B75/Music!$I$5</f>
        <v>116.54094037952235</v>
      </c>
    </row>
    <row r="75" spans="1:2" x14ac:dyDescent="0.25">
      <c r="A75" s="1" t="s">
        <v>87</v>
      </c>
      <c r="B75" s="2">
        <f>B76/Music!$I$5</f>
        <v>123.4708253140309</v>
      </c>
    </row>
    <row r="76" spans="1:2" x14ac:dyDescent="0.25">
      <c r="A76" s="1" t="s">
        <v>88</v>
      </c>
      <c r="B76" s="2">
        <f>B77/Music!$I$5</f>
        <v>130.8127826502992</v>
      </c>
    </row>
    <row r="77" spans="1:2" x14ac:dyDescent="0.25">
      <c r="A77" s="1" t="s">
        <v>89</v>
      </c>
      <c r="B77" s="2">
        <f>B78/Music!$I$5</f>
        <v>138.59131548843592</v>
      </c>
    </row>
    <row r="78" spans="1:2" x14ac:dyDescent="0.25">
      <c r="A78" s="1" t="s">
        <v>90</v>
      </c>
      <c r="B78" s="2">
        <f>B79/Music!$I$5</f>
        <v>146.83238395870364</v>
      </c>
    </row>
    <row r="79" spans="1:2" x14ac:dyDescent="0.25">
      <c r="A79" s="1" t="s">
        <v>91</v>
      </c>
      <c r="B79" s="2">
        <f>B80/Music!$I$5</f>
        <v>155.56349186104032</v>
      </c>
    </row>
    <row r="80" spans="1:2" x14ac:dyDescent="0.25">
      <c r="A80" s="1" t="s">
        <v>92</v>
      </c>
      <c r="B80" s="2">
        <f>B81/Music!$I$5</f>
        <v>164.81377845643482</v>
      </c>
    </row>
    <row r="81" spans="1:2" x14ac:dyDescent="0.25">
      <c r="A81" s="1" t="s">
        <v>93</v>
      </c>
      <c r="B81" s="2">
        <f>B82/Music!$I$5</f>
        <v>174.6141157165018</v>
      </c>
    </row>
    <row r="82" spans="1:2" x14ac:dyDescent="0.25">
      <c r="A82" s="1" t="s">
        <v>94</v>
      </c>
      <c r="B82" s="2">
        <f>B83/Music!$I$5</f>
        <v>184.99721135581706</v>
      </c>
    </row>
    <row r="83" spans="1:2" x14ac:dyDescent="0.25">
      <c r="A83" s="1" t="s">
        <v>95</v>
      </c>
      <c r="B83" s="2">
        <f>B84/Music!$I$5</f>
        <v>195.99771799087449</v>
      </c>
    </row>
    <row r="84" spans="1:2" x14ac:dyDescent="0.25">
      <c r="A84" s="1" t="s">
        <v>96</v>
      </c>
      <c r="B84" s="2">
        <f>B85/Music!$I$5</f>
        <v>207.65234878997242</v>
      </c>
    </row>
    <row r="85" spans="1:2" x14ac:dyDescent="0.25">
      <c r="A85" s="1" t="s">
        <v>97</v>
      </c>
      <c r="B85" s="2">
        <f>B86/Music!$I$5</f>
        <v>219.99999999999986</v>
      </c>
    </row>
    <row r="86" spans="1:2" x14ac:dyDescent="0.25">
      <c r="A86" s="1" t="s">
        <v>98</v>
      </c>
      <c r="B86" s="2">
        <f>B87/Music!$I$5</f>
        <v>233.08188075904482</v>
      </c>
    </row>
    <row r="87" spans="1:2" x14ac:dyDescent="0.25">
      <c r="A87" s="1" t="s">
        <v>99</v>
      </c>
      <c r="B87" s="2">
        <f>B88/Music!$I$5</f>
        <v>246.94165062806192</v>
      </c>
    </row>
    <row r="88" spans="1:2" x14ac:dyDescent="0.25">
      <c r="A88" s="1" t="s">
        <v>100</v>
      </c>
      <c r="B88" s="2">
        <f>B89/Music!$I$5</f>
        <v>261.62556530059851</v>
      </c>
    </row>
    <row r="89" spans="1:2" x14ac:dyDescent="0.25">
      <c r="A89" s="1" t="s">
        <v>101</v>
      </c>
      <c r="B89" s="2">
        <f>B90/Music!$I$5</f>
        <v>277.18263097687196</v>
      </c>
    </row>
    <row r="90" spans="1:2" x14ac:dyDescent="0.25">
      <c r="A90" s="1" t="s">
        <v>102</v>
      </c>
      <c r="B90" s="2">
        <f>B91/Music!$I$5</f>
        <v>293.66476791740746</v>
      </c>
    </row>
    <row r="91" spans="1:2" x14ac:dyDescent="0.25">
      <c r="A91" s="1" t="s">
        <v>103</v>
      </c>
      <c r="B91" s="2">
        <f>B92/Music!$I$5</f>
        <v>311.12698372208081</v>
      </c>
    </row>
    <row r="92" spans="1:2" x14ac:dyDescent="0.25">
      <c r="A92" s="1" t="s">
        <v>104</v>
      </c>
      <c r="B92" s="2">
        <f>B93/Music!$I$5</f>
        <v>329.62755691286986</v>
      </c>
    </row>
    <row r="93" spans="1:2" x14ac:dyDescent="0.25">
      <c r="A93" s="1" t="s">
        <v>105</v>
      </c>
      <c r="B93" s="2">
        <f>B94/Music!$I$5</f>
        <v>349.22823143300383</v>
      </c>
    </row>
    <row r="94" spans="1:2" x14ac:dyDescent="0.25">
      <c r="A94" s="1" t="s">
        <v>106</v>
      </c>
      <c r="B94" s="2">
        <f>B95/Music!$I$5</f>
        <v>369.99442271163434</v>
      </c>
    </row>
    <row r="95" spans="1:2" x14ac:dyDescent="0.25">
      <c r="A95" s="1" t="s">
        <v>107</v>
      </c>
      <c r="B95" s="2">
        <f>B96/Music!$I$5</f>
        <v>391.99543598174927</v>
      </c>
    </row>
    <row r="96" spans="1:2" x14ac:dyDescent="0.25">
      <c r="A96" s="1" t="s">
        <v>108</v>
      </c>
      <c r="B96" s="2">
        <f>B97/Music!$I$5</f>
        <v>415.30469757994513</v>
      </c>
    </row>
    <row r="97" spans="1:2" x14ac:dyDescent="0.25">
      <c r="A97" s="1" t="s">
        <v>109</v>
      </c>
      <c r="B97" s="2">
        <f>Music!$I$4</f>
        <v>440</v>
      </c>
    </row>
    <row r="98" spans="1:2" x14ac:dyDescent="0.25">
      <c r="A98" s="1" t="s">
        <v>110</v>
      </c>
      <c r="B98" s="2">
        <f>B97*Music!$I$5</f>
        <v>466.16376151808993</v>
      </c>
    </row>
    <row r="99" spans="1:2" x14ac:dyDescent="0.25">
      <c r="A99" s="1" t="s">
        <v>111</v>
      </c>
      <c r="B99" s="2">
        <f>B98*Music!$I$5</f>
        <v>493.88330125612413</v>
      </c>
    </row>
    <row r="100" spans="1:2" x14ac:dyDescent="0.25">
      <c r="A100" s="1" t="s">
        <v>112</v>
      </c>
      <c r="B100" s="2">
        <f>B99*Music!$I$5</f>
        <v>523.25113060119736</v>
      </c>
    </row>
    <row r="101" spans="1:2" x14ac:dyDescent="0.25">
      <c r="A101" s="1" t="s">
        <v>113</v>
      </c>
      <c r="B101" s="2">
        <f>B100*Music!$I$5</f>
        <v>554.36526195374427</v>
      </c>
    </row>
    <row r="102" spans="1:2" x14ac:dyDescent="0.25">
      <c r="A102" s="1" t="s">
        <v>114</v>
      </c>
      <c r="B102" s="2">
        <f>B101*Music!$I$5</f>
        <v>587.32953583481526</v>
      </c>
    </row>
    <row r="103" spans="1:2" x14ac:dyDescent="0.25">
      <c r="A103" s="1" t="s">
        <v>115</v>
      </c>
      <c r="B103" s="2">
        <f>B102*Music!$I$5</f>
        <v>622.25396744416196</v>
      </c>
    </row>
    <row r="104" spans="1:2" x14ac:dyDescent="0.25">
      <c r="A104" s="1" t="s">
        <v>116</v>
      </c>
      <c r="B104" s="2">
        <f>B103*Music!$I$5</f>
        <v>659.25511382574007</v>
      </c>
    </row>
    <row r="105" spans="1:2" x14ac:dyDescent="0.25">
      <c r="A105" s="1" t="s">
        <v>117</v>
      </c>
      <c r="B105" s="2">
        <f>B104*Music!$I$5</f>
        <v>698.456462866008</v>
      </c>
    </row>
    <row r="106" spans="1:2" x14ac:dyDescent="0.25">
      <c r="A106" s="1" t="s">
        <v>118</v>
      </c>
      <c r="B106" s="2">
        <f>B105*Music!$I$5</f>
        <v>739.98884542326903</v>
      </c>
    </row>
    <row r="107" spans="1:2" x14ac:dyDescent="0.25">
      <c r="A107" s="1" t="s">
        <v>119</v>
      </c>
      <c r="B107" s="2">
        <f>B106*Music!$I$5</f>
        <v>783.99087196349888</v>
      </c>
    </row>
    <row r="108" spans="1:2" x14ac:dyDescent="0.25">
      <c r="A108" s="1" t="s">
        <v>120</v>
      </c>
      <c r="B108" s="2">
        <f>B107*Music!$I$5</f>
        <v>830.6093951598906</v>
      </c>
    </row>
    <row r="109" spans="1:2" x14ac:dyDescent="0.25">
      <c r="A109" s="1" t="s">
        <v>121</v>
      </c>
      <c r="B109" s="2">
        <f>B108*Music!$I$5</f>
        <v>880.00000000000034</v>
      </c>
    </row>
    <row r="110" spans="1:2" x14ac:dyDescent="0.25">
      <c r="A110" s="1" t="s">
        <v>122</v>
      </c>
      <c r="B110" s="2">
        <f>B109*Music!$I$5</f>
        <v>932.3275230361802</v>
      </c>
    </row>
    <row r="111" spans="1:2" x14ac:dyDescent="0.25">
      <c r="A111" s="1" t="s">
        <v>123</v>
      </c>
      <c r="B111" s="2">
        <f>B110*Music!$I$5</f>
        <v>987.7666025122486</v>
      </c>
    </row>
    <row r="112" spans="1:2" x14ac:dyDescent="0.25">
      <c r="A112" s="1" t="s">
        <v>124</v>
      </c>
      <c r="B112" s="2">
        <f>B111*Music!$I$5</f>
        <v>1046.5022612023949</v>
      </c>
    </row>
    <row r="113" spans="1:2" x14ac:dyDescent="0.25">
      <c r="A113" s="1" t="s">
        <v>125</v>
      </c>
      <c r="B113" s="2">
        <f>B112*Music!$I$5</f>
        <v>1108.7305239074888</v>
      </c>
    </row>
    <row r="114" spans="1:2" x14ac:dyDescent="0.25">
      <c r="A114" s="1" t="s">
        <v>126</v>
      </c>
      <c r="B114" s="2">
        <f>B113*Music!$I$5</f>
        <v>1174.6590716696307</v>
      </c>
    </row>
    <row r="115" spans="1:2" x14ac:dyDescent="0.25">
      <c r="A115" s="1" t="s">
        <v>127</v>
      </c>
      <c r="B115" s="2">
        <f>B114*Music!$I$5</f>
        <v>1244.5079348883241</v>
      </c>
    </row>
    <row r="116" spans="1:2" x14ac:dyDescent="0.25">
      <c r="A116" s="1" t="s">
        <v>128</v>
      </c>
      <c r="B116" s="2">
        <f>B115*Music!$I$5</f>
        <v>1318.5102276514804</v>
      </c>
    </row>
    <row r="117" spans="1:2" x14ac:dyDescent="0.25">
      <c r="A117" s="1" t="s">
        <v>129</v>
      </c>
      <c r="B117" s="2">
        <f>B116*Music!$I$5</f>
        <v>1396.9129257320162</v>
      </c>
    </row>
    <row r="118" spans="1:2" x14ac:dyDescent="0.25">
      <c r="A118" s="1" t="s">
        <v>130</v>
      </c>
      <c r="B118" s="2">
        <f>B117*Music!$I$5</f>
        <v>1479.9776908465383</v>
      </c>
    </row>
    <row r="119" spans="1:2" x14ac:dyDescent="0.25">
      <c r="A119" s="1" t="s">
        <v>131</v>
      </c>
      <c r="B119" s="2">
        <f>B118*Music!$I$5</f>
        <v>1567.981743926998</v>
      </c>
    </row>
    <row r="120" spans="1:2" x14ac:dyDescent="0.25">
      <c r="A120" s="1" t="s">
        <v>132</v>
      </c>
      <c r="B120" s="2">
        <f>B119*Music!$I$5</f>
        <v>1661.2187903197814</v>
      </c>
    </row>
    <row r="121" spans="1:2" x14ac:dyDescent="0.25">
      <c r="A121" s="1" t="s">
        <v>133</v>
      </c>
      <c r="B121" s="2">
        <f>B120*Music!$I$5</f>
        <v>1760.0000000000009</v>
      </c>
    </row>
    <row r="122" spans="1:2" x14ac:dyDescent="0.25">
      <c r="A122" s="1" t="s">
        <v>134</v>
      </c>
      <c r="B122" s="2">
        <f>B121*Music!$I$5</f>
        <v>1864.6550460723606</v>
      </c>
    </row>
    <row r="123" spans="1:2" x14ac:dyDescent="0.25">
      <c r="A123" s="1" t="s">
        <v>135</v>
      </c>
      <c r="B123" s="2">
        <f>B122*Music!$I$5</f>
        <v>1975.5332050244976</v>
      </c>
    </row>
    <row r="124" spans="1:2" x14ac:dyDescent="0.25">
      <c r="A124" s="1" t="s">
        <v>136</v>
      </c>
      <c r="B124" s="2">
        <f>B123*Music!$I$5</f>
        <v>2093.0045224047904</v>
      </c>
    </row>
    <row r="125" spans="1:2" x14ac:dyDescent="0.25">
      <c r="A125" s="1" t="s">
        <v>137</v>
      </c>
      <c r="B125" s="2">
        <f>B124*Music!$I$5</f>
        <v>2217.4610478149784</v>
      </c>
    </row>
    <row r="126" spans="1:2" x14ac:dyDescent="0.25">
      <c r="A126" s="1" t="s">
        <v>138</v>
      </c>
      <c r="B126" s="2">
        <f>B125*Music!$I$5</f>
        <v>2349.3181433392624</v>
      </c>
    </row>
    <row r="127" spans="1:2" x14ac:dyDescent="0.25">
      <c r="A127" s="1" t="s">
        <v>139</v>
      </c>
      <c r="B127" s="2">
        <f>B126*Music!$I$5</f>
        <v>2489.0158697766497</v>
      </c>
    </row>
    <row r="128" spans="1:2" x14ac:dyDescent="0.25">
      <c r="A128" s="1" t="s">
        <v>140</v>
      </c>
      <c r="B128" s="2">
        <f>B127*Music!$I$5</f>
        <v>2637.0204553029621</v>
      </c>
    </row>
    <row r="129" spans="1:2" x14ac:dyDescent="0.25">
      <c r="A129" s="1" t="s">
        <v>141</v>
      </c>
      <c r="B129" s="2">
        <f>B128*Music!$I$5</f>
        <v>2793.8258514640338</v>
      </c>
    </row>
    <row r="130" spans="1:2" x14ac:dyDescent="0.25">
      <c r="A130" s="1" t="s">
        <v>142</v>
      </c>
      <c r="B130" s="2">
        <f>B129*Music!$I$5</f>
        <v>2959.9553816930784</v>
      </c>
    </row>
    <row r="131" spans="1:2" x14ac:dyDescent="0.25">
      <c r="A131" s="1" t="s">
        <v>143</v>
      </c>
      <c r="B131" s="2">
        <f>B130*Music!$I$5</f>
        <v>3135.9634878539978</v>
      </c>
    </row>
    <row r="132" spans="1:2" x14ac:dyDescent="0.25">
      <c r="A132" s="1" t="s">
        <v>144</v>
      </c>
      <c r="B132" s="2">
        <f>B131*Music!$I$5</f>
        <v>3322.4375806395647</v>
      </c>
    </row>
    <row r="133" spans="1:2" x14ac:dyDescent="0.25">
      <c r="A133" s="1" t="s">
        <v>145</v>
      </c>
      <c r="B133" s="2">
        <f>B132*Music!$I$5</f>
        <v>3520.0000000000041</v>
      </c>
    </row>
    <row r="134" spans="1:2" x14ac:dyDescent="0.25">
      <c r="A134" s="1" t="s">
        <v>146</v>
      </c>
      <c r="B134" s="2">
        <f>B133*Music!$I$5</f>
        <v>3729.310092144724</v>
      </c>
    </row>
    <row r="135" spans="1:2" x14ac:dyDescent="0.25">
      <c r="A135" s="1" t="s">
        <v>147</v>
      </c>
      <c r="B135" s="2">
        <f>B134*Music!$I$5</f>
        <v>3951.066410048998</v>
      </c>
    </row>
    <row r="136" spans="1:2" x14ac:dyDescent="0.25">
      <c r="A136" s="1" t="s">
        <v>148</v>
      </c>
      <c r="B136" s="2">
        <f>B135*Music!$I$5</f>
        <v>4186.0090448095834</v>
      </c>
    </row>
    <row r="137" spans="1:2" x14ac:dyDescent="0.25">
      <c r="A137" s="1" t="s">
        <v>149</v>
      </c>
      <c r="B137" s="2">
        <f>B136*Music!$I$5</f>
        <v>4434.9220956299596</v>
      </c>
    </row>
    <row r="138" spans="1:2" x14ac:dyDescent="0.25">
      <c r="A138" s="1" t="s">
        <v>150</v>
      </c>
      <c r="B138" s="2">
        <f>B137*Music!$I$5</f>
        <v>4698.6362866785275</v>
      </c>
    </row>
    <row r="139" spans="1:2" x14ac:dyDescent="0.25">
      <c r="A139" s="1" t="s">
        <v>151</v>
      </c>
      <c r="B139" s="2">
        <f>B138*Music!$I$5</f>
        <v>4978.031739553302</v>
      </c>
    </row>
    <row r="140" spans="1:2" x14ac:dyDescent="0.25">
      <c r="A140" s="1" t="s">
        <v>152</v>
      </c>
      <c r="B140" s="2">
        <f>B139*Music!$I$5</f>
        <v>5274.0409106059269</v>
      </c>
    </row>
    <row r="141" spans="1:2" x14ac:dyDescent="0.25">
      <c r="A141" s="1" t="s">
        <v>153</v>
      </c>
      <c r="B141" s="2">
        <f>B140*Music!$I$5</f>
        <v>5587.6517029280712</v>
      </c>
    </row>
    <row r="142" spans="1:2" x14ac:dyDescent="0.25">
      <c r="A142" s="1" t="s">
        <v>154</v>
      </c>
      <c r="B142" s="2">
        <f>B141*Music!$I$5</f>
        <v>5919.9107633861604</v>
      </c>
    </row>
    <row r="143" spans="1:2" x14ac:dyDescent="0.25">
      <c r="A143" s="1" t="s">
        <v>155</v>
      </c>
      <c r="B143" s="2">
        <f>B142*Music!$I$5</f>
        <v>6271.9269757079992</v>
      </c>
    </row>
    <row r="144" spans="1:2" x14ac:dyDescent="0.25">
      <c r="A144" s="1" t="s">
        <v>156</v>
      </c>
      <c r="B144" s="2">
        <f>B143*Music!$I$5</f>
        <v>6644.8751612791339</v>
      </c>
    </row>
    <row r="145" spans="1:2" x14ac:dyDescent="0.25">
      <c r="A145" s="1" t="s">
        <v>157</v>
      </c>
      <c r="B145" s="2">
        <f>B144*Music!$I$5</f>
        <v>7040.0000000000127</v>
      </c>
    </row>
    <row r="146" spans="1:2" x14ac:dyDescent="0.25">
      <c r="A146" s="1" t="s">
        <v>158</v>
      </c>
      <c r="B146" s="2">
        <f>B145*Music!$I$5</f>
        <v>7458.6201842894525</v>
      </c>
    </row>
    <row r="147" spans="1:2" x14ac:dyDescent="0.25">
      <c r="A147" s="1" t="s">
        <v>159</v>
      </c>
      <c r="B147" s="2">
        <f>B146*Music!$I$5</f>
        <v>7902.1328200980006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Music</vt:lpstr>
      <vt:lpstr>CCode</vt:lpstr>
      <vt:lpstr>LUAcode</vt:lpstr>
      <vt:lpstr>PythonCode</vt:lpstr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Attila Kolinger - M91541</dc:creator>
  <cp:keywords/>
  <dc:description/>
  <cp:lastModifiedBy>Mark Wendler - M18034</cp:lastModifiedBy>
  <cp:revision/>
  <dcterms:created xsi:type="dcterms:W3CDTF">2021-12-10T13:44:36Z</dcterms:created>
  <dcterms:modified xsi:type="dcterms:W3CDTF">2021-12-23T14:18:55Z</dcterms:modified>
  <cp:category/>
  <cp:contentStatus/>
</cp:coreProperties>
</file>